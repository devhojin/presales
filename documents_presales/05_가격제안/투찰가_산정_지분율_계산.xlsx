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 defaultThemeVersion="166925"/>
  <xr:revisionPtr revIDLastSave="0" documentId="13_ncr:1_{5C4FD2D8-23F2-422C-B848-7F7B4B5EC7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실적 비율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" l="1"/>
  <c r="F9" i="7" s="1"/>
  <c r="E8" i="7"/>
  <c r="E9" i="7" s="1"/>
  <c r="G7" i="7"/>
  <c r="D8" i="7" l="1"/>
  <c r="D9" i="7" s="1"/>
  <c r="G6" i="7"/>
  <c r="C8" i="7" l="1"/>
  <c r="G8" i="7" s="1"/>
  <c r="C9" i="7" l="1"/>
  <c r="G9" i="7" s="1"/>
  <c r="G10" i="7" s="1"/>
  <c r="G11" i="7" s="1"/>
  <c r="F12" i="7"/>
  <c r="C12" i="7"/>
  <c r="E12" i="7"/>
  <c r="D12" i="7"/>
  <c r="G12" i="7" l="1"/>
</calcChain>
</file>

<file path=xl/sharedStrings.xml><?xml version="1.0" encoding="utf-8"?>
<sst xmlns="http://schemas.openxmlformats.org/spreadsheetml/2006/main" count="26" uniqueCount="25">
  <si>
    <t>지분율</t>
    <phoneticPr fontId="2" type="noConversion"/>
  </si>
  <si>
    <t>공동수급체 수행실적 계산 방법 (구축실적 / 기준금액) x 100</t>
    <phoneticPr fontId="2" type="noConversion"/>
  </si>
  <si>
    <t>기준금액 :</t>
    <phoneticPr fontId="2" type="noConversion"/>
  </si>
  <si>
    <t>컨소시엄</t>
    <phoneticPr fontId="2" type="noConversion"/>
  </si>
  <si>
    <t>합계</t>
    <phoneticPr fontId="2" type="noConversion"/>
  </si>
  <si>
    <t>평가기준</t>
    <phoneticPr fontId="2" type="noConversion"/>
  </si>
  <si>
    <t>점수</t>
    <phoneticPr fontId="2" type="noConversion"/>
  </si>
  <si>
    <t>평점</t>
    <phoneticPr fontId="2" type="noConversion"/>
  </si>
  <si>
    <t>A. 100%이상</t>
  </si>
  <si>
    <t xml:space="preserve">보유실적 </t>
    <phoneticPr fontId="2" type="noConversion"/>
  </si>
  <si>
    <t>B. 70%이상~100%미만</t>
  </si>
  <si>
    <t>실적x지분율</t>
    <phoneticPr fontId="2" type="noConversion"/>
  </si>
  <si>
    <t>C. 40%이상~70%미만</t>
  </si>
  <si>
    <t>실적점수</t>
    <phoneticPr fontId="2" type="noConversion"/>
  </si>
  <si>
    <t>E. 40%미만</t>
  </si>
  <si>
    <t>평가점수</t>
    <phoneticPr fontId="2" type="noConversion"/>
  </si>
  <si>
    <t>추가 필요실적</t>
    <phoneticPr fontId="2" type="noConversion"/>
  </si>
  <si>
    <t>RFP 설명</t>
    <phoneticPr fontId="2" type="noConversion"/>
  </si>
  <si>
    <t xml:space="preserve">공동수급체의 경우 구성원별 실적에 지분율을 곱한 후 그 실적들을 합산한 실적으로 최종 평가하고, 평가 결과 소수점 이하의 숫자가 있는 경우 소수점 다섯째자리에서 반올림 한다.
(예) {(A사 실적×A사 지분율)+(B사 실적×B사 지분율)…}에 대한 점수 </t>
    <phoneticPr fontId="2" type="noConversion"/>
  </si>
  <si>
    <t>컨소A사</t>
    <phoneticPr fontId="2" type="noConversion"/>
  </si>
  <si>
    <t>컨소B사</t>
    <phoneticPr fontId="2" type="noConversion"/>
  </si>
  <si>
    <t>컨소C사</t>
    <phoneticPr fontId="2" type="noConversion"/>
  </si>
  <si>
    <t>컨소D사</t>
    <phoneticPr fontId="2" type="noConversion"/>
  </si>
  <si>
    <t>&lt;- 제안요청서 참조</t>
    <phoneticPr fontId="2" type="noConversion"/>
  </si>
  <si>
    <t>노란색을 수정하세요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</si>
</sst>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8" formatCode="0.0"/>
    <numFmt numFmtId="179" formatCode="_-* #,##0.00000_-;\-* #,##0.00000_-;_-* &quot;-&quot;_-;_-@_-"/>
    <numFmt numFmtId="180" formatCode="0_ ;[Red]\-0\ "/>
    <numFmt numFmtId="181" formatCode="#,##0_ ;[Red]\-#,##0\ 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1" xfId="0" applyFont="1" applyBorder="1">
      <alignment vertical="center"/>
    </xf>
    <xf numFmtId="9" fontId="4" fillId="0" borderId="1" xfId="3" applyFont="1" applyBorder="1">
      <alignment vertical="center"/>
    </xf>
    <xf numFmtId="180" fontId="4" fillId="5" borderId="1" xfId="0" applyNumberFormat="1" applyFont="1" applyFill="1" applyBorder="1">
      <alignment vertical="center"/>
    </xf>
    <xf numFmtId="181" fontId="0" fillId="5" borderId="1" xfId="1" applyNumberFormat="1" applyFont="1" applyFill="1" applyBorder="1">
      <alignment vertical="center"/>
    </xf>
    <xf numFmtId="181" fontId="4" fillId="5" borderId="1" xfId="1" applyNumberFormat="1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0" applyFont="1">
      <alignment vertical="center"/>
    </xf>
    <xf numFmtId="9" fontId="0" fillId="3" borderId="1" xfId="0" applyNumberFormat="1" applyFill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179" fontId="0" fillId="3" borderId="1" xfId="1" applyNumberFormat="1" applyFont="1" applyFill="1" applyBorder="1">
      <alignment vertical="center"/>
    </xf>
    <xf numFmtId="179" fontId="4" fillId="3" borderId="1" xfId="0" applyNumberFormat="1" applyFont="1" applyFill="1" applyBorder="1">
      <alignment vertical="center"/>
    </xf>
    <xf numFmtId="41" fontId="4" fillId="2" borderId="0" xfId="1" applyFont="1" applyFill="1">
      <alignment vertical="center"/>
    </xf>
    <xf numFmtId="10" fontId="0" fillId="2" borderId="1" xfId="3" applyNumberFormat="1" applyFont="1" applyFill="1" applyBorder="1" applyAlignment="1">
      <alignment horizontal="center" vertical="center"/>
    </xf>
    <xf numFmtId="41" fontId="0" fillId="2" borderId="1" xfId="1" applyFont="1" applyFill="1" applyBorder="1">
      <alignment vertical="center"/>
    </xf>
    <xf numFmtId="0" fontId="0" fillId="2" borderId="0" xfId="0" applyFill="1">
      <alignment vertical="center"/>
    </xf>
  </cellXfs>
  <cellStyles count="6">
    <cellStyle name="백분율" xfId="3" builtinId="5"/>
    <cellStyle name="쉼표 [0]" xfId="1" builtinId="6"/>
    <cellStyle name="쉼표 [0] 7 2" xfId="5" xr:uid="{00000000-0005-0000-0000-000002000000}"/>
    <cellStyle name="표준" xfId="0" builtinId="0"/>
    <cellStyle name="표준 13 2" xfId="4" xr:uid="{00000000-0005-0000-0000-000004000000}"/>
    <cellStyle name="표준 85" xfId="2" xr:uid="{00000000-0005-0000-0000-000005000000}"/>
  </cellStyles>
  <dxfs count="0"/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0720-2F6D-433E-AFEC-DCA0F0CD3569}">
  <sheetPr>
    <tabColor rgb="FF0000FF"/>
    <pageSetUpPr fitToPage="1"/>
  </sheetPr>
  <dimension ref="A2:K14"/>
  <sheetViews>
    <sheetView showGridLines="0" tabSelected="1" workbookViewId="0">
      <selection activeCell="N17" sqref="N17"/>
    </sheetView>
  </sheetViews>
  <sheetFormatPr defaultRowHeight="17.399999999999999" x14ac:dyDescent="0.4"/>
  <cols>
    <col min="1" max="1" width="3.296875" customWidth="1"/>
    <col min="2" max="2" width="14.59765625" customWidth="1"/>
    <col min="3" max="3" width="16.59765625" bestFit="1" customWidth="1"/>
    <col min="4" max="6" width="14.69921875" customWidth="1"/>
    <col min="7" max="7" width="18.59765625" customWidth="1"/>
    <col min="8" max="8" width="1.19921875" customWidth="1"/>
    <col min="9" max="9" width="20.8984375" bestFit="1" customWidth="1"/>
    <col min="10" max="10" width="9.296875" bestFit="1" customWidth="1"/>
  </cols>
  <sheetData>
    <row r="2" spans="1:11" x14ac:dyDescent="0.4">
      <c r="B2" t="s">
        <v>1</v>
      </c>
      <c r="G2" s="22" t="s">
        <v>24</v>
      </c>
    </row>
    <row r="3" spans="1:11" x14ac:dyDescent="0.4">
      <c r="B3" t="s">
        <v>2</v>
      </c>
      <c r="C3" s="19">
        <v>7000000000</v>
      </c>
      <c r="D3" s="14" t="s">
        <v>23</v>
      </c>
    </row>
    <row r="5" spans="1:11" x14ac:dyDescent="0.4">
      <c r="B5" s="2" t="s">
        <v>3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4</v>
      </c>
      <c r="I5" s="3" t="s">
        <v>5</v>
      </c>
      <c r="J5" s="3" t="s">
        <v>6</v>
      </c>
      <c r="K5" s="3" t="s">
        <v>7</v>
      </c>
    </row>
    <row r="6" spans="1:11" x14ac:dyDescent="0.4">
      <c r="B6" s="2" t="s">
        <v>0</v>
      </c>
      <c r="C6" s="20">
        <v>0.5</v>
      </c>
      <c r="D6" s="20">
        <v>0.3</v>
      </c>
      <c r="E6" s="20">
        <v>0.1</v>
      </c>
      <c r="F6" s="20">
        <v>0.1</v>
      </c>
      <c r="G6" s="15">
        <f>SUM(C6:F6)</f>
        <v>1</v>
      </c>
      <c r="I6" s="1" t="s">
        <v>8</v>
      </c>
      <c r="J6" s="4">
        <v>8</v>
      </c>
      <c r="K6" s="5">
        <v>1</v>
      </c>
    </row>
    <row r="7" spans="1:11" x14ac:dyDescent="0.4">
      <c r="A7" s="6"/>
      <c r="B7" s="2" t="s">
        <v>9</v>
      </c>
      <c r="C7" s="21">
        <v>8000000000</v>
      </c>
      <c r="D7" s="21">
        <v>2000000000</v>
      </c>
      <c r="E7" s="21">
        <v>20000000000</v>
      </c>
      <c r="F7" s="21">
        <v>1500000000</v>
      </c>
      <c r="G7" s="16">
        <f>SUM(C7:F7)</f>
        <v>31500000000</v>
      </c>
      <c r="I7" s="1" t="s">
        <v>10</v>
      </c>
      <c r="J7" s="4">
        <v>7.2</v>
      </c>
      <c r="K7" s="5">
        <v>0.9</v>
      </c>
    </row>
    <row r="8" spans="1:11" x14ac:dyDescent="0.4">
      <c r="B8" s="2" t="s">
        <v>11</v>
      </c>
      <c r="C8" s="16">
        <f>C7*C6</f>
        <v>4000000000</v>
      </c>
      <c r="D8" s="16">
        <f>D7*D6</f>
        <v>600000000</v>
      </c>
      <c r="E8" s="16">
        <f>E7*E6</f>
        <v>2000000000</v>
      </c>
      <c r="F8" s="16">
        <f>F7*F6</f>
        <v>150000000</v>
      </c>
      <c r="G8" s="16">
        <f>SUM(C8:F8)</f>
        <v>6750000000</v>
      </c>
      <c r="I8" s="1" t="s">
        <v>12</v>
      </c>
      <c r="J8" s="4">
        <v>6.4</v>
      </c>
      <c r="K8" s="5">
        <v>0.8</v>
      </c>
    </row>
    <row r="9" spans="1:11" x14ac:dyDescent="0.4">
      <c r="B9" s="2" t="s">
        <v>13</v>
      </c>
      <c r="C9" s="17">
        <f>C8/$C$3*100</f>
        <v>57.142857142857139</v>
      </c>
      <c r="D9" s="17">
        <f t="shared" ref="D9:F9" si="0">D8/$C$3*100</f>
        <v>8.5714285714285712</v>
      </c>
      <c r="E9" s="17">
        <f t="shared" si="0"/>
        <v>28.571428571428569</v>
      </c>
      <c r="F9" s="17">
        <f t="shared" si="0"/>
        <v>2.1428571428571428</v>
      </c>
      <c r="G9" s="18">
        <f>ROUND(C9+D9+E9+F9, 5)</f>
        <v>96.428569999999993</v>
      </c>
      <c r="I9" s="1" t="s">
        <v>14</v>
      </c>
      <c r="J9" s="4">
        <v>5.6</v>
      </c>
      <c r="K9" s="5">
        <v>0.7</v>
      </c>
    </row>
    <row r="10" spans="1:11" x14ac:dyDescent="0.4">
      <c r="B10" s="12" t="s">
        <v>15</v>
      </c>
      <c r="C10" s="12"/>
      <c r="D10" s="12"/>
      <c r="E10" s="12"/>
      <c r="F10" s="12"/>
      <c r="G10" s="7">
        <f>IF(G9&gt;=100,$J$6,IF(G9&gt;=70,$J$7,IF(G9&gt;=40,$J$8,IF(G9&lt;39.999,$J$9))))</f>
        <v>7.2</v>
      </c>
    </row>
    <row r="11" spans="1:11" x14ac:dyDescent="0.4">
      <c r="B11" s="12" t="s">
        <v>7</v>
      </c>
      <c r="C11" s="12"/>
      <c r="D11" s="12"/>
      <c r="E11" s="12"/>
      <c r="F11" s="12"/>
      <c r="G11" s="8">
        <f>IF(G10&gt;=$J$6,$K$6,IF(G10&gt;=$J$7,$K$7,IF(G10&gt;=$J$8,$K$8,IF(G10&lt;$J$9,$K$9))))</f>
        <v>0.9</v>
      </c>
    </row>
    <row r="12" spans="1:11" x14ac:dyDescent="0.4">
      <c r="B12" s="9" t="s">
        <v>16</v>
      </c>
      <c r="C12" s="10">
        <f>($G$8-$C$3)/C6</f>
        <v>-500000000</v>
      </c>
      <c r="D12" s="10">
        <f>($G$8-$C$3)/D6</f>
        <v>-833333333.33333337</v>
      </c>
      <c r="E12" s="10">
        <f>($G$8-$C$3)/E6</f>
        <v>-2500000000</v>
      </c>
      <c r="F12" s="10">
        <f>($G$8-$C$3)/F6</f>
        <v>-2500000000</v>
      </c>
      <c r="G12" s="11">
        <f>SUM(C12:F12)</f>
        <v>-6333333333.333334</v>
      </c>
    </row>
    <row r="14" spans="1:11" ht="61.2" customHeight="1" x14ac:dyDescent="0.4">
      <c r="B14" t="s">
        <v>17</v>
      </c>
      <c r="C14" s="13" t="s">
        <v>18</v>
      </c>
      <c r="D14" s="13"/>
      <c r="E14" s="13"/>
      <c r="F14" s="13"/>
      <c r="G14" s="13"/>
    </row>
  </sheetData>
  <mergeCells count="3">
    <mergeCell ref="B10:F10"/>
    <mergeCell ref="B11:F11"/>
    <mergeCell ref="C14:G14"/>
  </mergeCells>
  <phoneticPr fontId="2" type="noConversion"/>
  <pageMargins left="0.25" right="0.25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실적 비율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지분율 계산</dc:title>
  <dc:creator/>
  <cp:lastModifiedBy/>
  <dcterms:created xsi:type="dcterms:W3CDTF">2024-11-20T23:06:50Z</dcterms:created>
  <dcterms:modified xsi:type="dcterms:W3CDTF">2024-11-20T23:09:08Z</dcterms:modified>
</cp:coreProperties>
</file>