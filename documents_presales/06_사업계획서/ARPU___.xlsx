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ehojin/Library/CloudStorage/Dropbox/PM_BOOK/스토어 콘텐츠/시스템 운영 문서/"/>
    </mc:Choice>
  </mc:AlternateContent>
  <xr:revisionPtr revIDLastSave="0" documentId="13_ncr:1_{B017BFB0-6309-574E-B19A-5B9704ABD689}" xr6:coauthVersionLast="47" xr6:coauthVersionMax="47" xr10:uidLastSave="{00000000-0000-0000-0000-000000000000}"/>
  <bookViews>
    <workbookView xWindow="0" yWindow="760" windowWidth="30240" windowHeight="17900" xr2:uid="{DA3C7A56-9820-4552-830B-DC9DCC7F69ED}"/>
  </bookViews>
  <sheets>
    <sheet name="수주매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8" i="1" s="1"/>
  <c r="C10" i="1"/>
  <c r="C16" i="1" s="1"/>
  <c r="AN12" i="1"/>
  <c r="AO12" i="1"/>
  <c r="R12" i="1"/>
  <c r="AE12" i="1" s="1"/>
  <c r="S12" i="1"/>
  <c r="AF12" i="1" s="1"/>
  <c r="T12" i="1"/>
  <c r="AG12" i="1" s="1"/>
  <c r="U12" i="1"/>
  <c r="AH12" i="1" s="1"/>
  <c r="V12" i="1"/>
  <c r="AI12" i="1" s="1"/>
  <c r="W12" i="1"/>
  <c r="AJ12" i="1" s="1"/>
  <c r="X12" i="1"/>
  <c r="AK12" i="1" s="1"/>
  <c r="Y12" i="1"/>
  <c r="AL12" i="1" s="1"/>
  <c r="Z12" i="1"/>
  <c r="AM12" i="1" s="1"/>
  <c r="AA12" i="1"/>
  <c r="AB12" i="1"/>
  <c r="AC12" i="1"/>
  <c r="AP12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R18" i="1" s="1"/>
  <c r="S18" i="1" s="1"/>
  <c r="T18" i="1" s="1"/>
  <c r="U18" i="1" s="1"/>
  <c r="V18" i="1" s="1"/>
  <c r="W18" i="1" s="1"/>
  <c r="Q12" i="1"/>
  <c r="X18" i="1" l="1"/>
  <c r="Y18" i="1" s="1"/>
  <c r="Z18" i="1" s="1"/>
  <c r="AA18" i="1" s="1"/>
  <c r="AB18" i="1" s="1"/>
  <c r="AC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D12" i="1"/>
  <c r="AQ12" i="1"/>
  <c r="Q18" i="1"/>
  <c r="E17" i="1"/>
  <c r="F17" i="1" l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D12" i="1"/>
  <c r="AD18" i="1"/>
  <c r="AQ18" i="1"/>
  <c r="R16" i="1"/>
  <c r="S16" i="1"/>
  <c r="V16" i="1"/>
  <c r="W16" i="1"/>
  <c r="Z16" i="1"/>
  <c r="AA16" i="1"/>
  <c r="J13" i="1"/>
  <c r="N13" i="1"/>
  <c r="F11" i="1"/>
  <c r="S11" i="1" s="1"/>
  <c r="AF16" i="1"/>
  <c r="AG16" i="1"/>
  <c r="AH16" i="1"/>
  <c r="AI16" i="1"/>
  <c r="AJ16" i="1"/>
  <c r="AK16" i="1"/>
  <c r="AL16" i="1"/>
  <c r="AM16" i="1"/>
  <c r="AN16" i="1"/>
  <c r="AO16" i="1"/>
  <c r="AP16" i="1"/>
  <c r="AE16" i="1"/>
  <c r="T16" i="1"/>
  <c r="U16" i="1"/>
  <c r="X16" i="1"/>
  <c r="Y16" i="1"/>
  <c r="AB16" i="1"/>
  <c r="AC16" i="1"/>
  <c r="G16" i="1"/>
  <c r="H16" i="1"/>
  <c r="I16" i="1"/>
  <c r="J16" i="1"/>
  <c r="K16" i="1"/>
  <c r="L16" i="1"/>
  <c r="M16" i="1"/>
  <c r="N16" i="1"/>
  <c r="O16" i="1"/>
  <c r="P16" i="1"/>
  <c r="F16" i="1"/>
  <c r="R11" i="1"/>
  <c r="AE11" i="1" s="1"/>
  <c r="AE13" i="1" s="1"/>
  <c r="T11" i="1"/>
  <c r="AG11" i="1" s="1"/>
  <c r="AG13" i="1" s="1"/>
  <c r="AC11" i="1"/>
  <c r="AC13" i="1" s="1"/>
  <c r="U11" i="1"/>
  <c r="AH11" i="1" s="1"/>
  <c r="AH13" i="1" s="1"/>
  <c r="V11" i="1"/>
  <c r="X11" i="1"/>
  <c r="AK11" i="1" s="1"/>
  <c r="AK13" i="1" s="1"/>
  <c r="Y11" i="1"/>
  <c r="AL11" i="1" s="1"/>
  <c r="AL13" i="1" s="1"/>
  <c r="Z11" i="1"/>
  <c r="AM11" i="1" s="1"/>
  <c r="AM13" i="1" s="1"/>
  <c r="AB11" i="1"/>
  <c r="AO11" i="1" s="1"/>
  <c r="AO13" i="1" s="1"/>
  <c r="E13" i="1"/>
  <c r="F13" i="1"/>
  <c r="G13" i="1"/>
  <c r="H13" i="1"/>
  <c r="I13" i="1"/>
  <c r="K13" i="1"/>
  <c r="L13" i="1"/>
  <c r="M13" i="1"/>
  <c r="O13" i="1"/>
  <c r="P13" i="1"/>
  <c r="AQ10" i="1"/>
  <c r="C11" i="1"/>
  <c r="C17" i="1" s="1"/>
  <c r="Q11" i="1"/>
  <c r="Q10" i="1"/>
  <c r="Q13" i="1" s="1"/>
  <c r="T40" i="1" s="1"/>
  <c r="X13" i="1" l="1"/>
  <c r="R17" i="1"/>
  <c r="S17" i="1" s="1"/>
  <c r="T17" i="1" s="1"/>
  <c r="U17" i="1" s="1"/>
  <c r="V17" i="1" s="1"/>
  <c r="AQ16" i="1"/>
  <c r="D18" i="1"/>
  <c r="Q16" i="1"/>
  <c r="AD16" i="1"/>
  <c r="AD10" i="1"/>
  <c r="V13" i="1"/>
  <c r="S13" i="1"/>
  <c r="T13" i="1"/>
  <c r="AB13" i="1"/>
  <c r="Y13" i="1"/>
  <c r="AA11" i="1"/>
  <c r="AA13" i="1" s="1"/>
  <c r="W11" i="1"/>
  <c r="W13" i="1" s="1"/>
  <c r="U13" i="1"/>
  <c r="AP11" i="1"/>
  <c r="AP13" i="1" s="1"/>
  <c r="AF11" i="1"/>
  <c r="AF13" i="1" s="1"/>
  <c r="E19" i="1"/>
  <c r="E21" i="1" s="1"/>
  <c r="Z13" i="1"/>
  <c r="AI11" i="1"/>
  <c r="AD11" i="1"/>
  <c r="R13" i="1"/>
  <c r="D10" i="1" l="1"/>
  <c r="AD13" i="1"/>
  <c r="T41" i="1" s="1"/>
  <c r="U41" i="1" s="1"/>
  <c r="AJ11" i="1"/>
  <c r="AJ13" i="1" s="1"/>
  <c r="AN11" i="1"/>
  <c r="AN13" i="1" s="1"/>
  <c r="W17" i="1"/>
  <c r="X17" i="1" s="1"/>
  <c r="Y17" i="1" s="1"/>
  <c r="Z17" i="1" s="1"/>
  <c r="AA17" i="1" s="1"/>
  <c r="AB17" i="1" s="1"/>
  <c r="AC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D16" i="1"/>
  <c r="AI13" i="1"/>
  <c r="AQ11" i="1" l="1"/>
  <c r="AQ13" i="1" s="1"/>
  <c r="T42" i="1" s="1"/>
  <c r="U42" i="1"/>
  <c r="F19" i="1"/>
  <c r="F21" i="1" s="1"/>
  <c r="G19" i="1"/>
  <c r="G21" i="1" s="1"/>
  <c r="D11" i="1" l="1"/>
  <c r="D13" i="1" s="1"/>
  <c r="H19" i="1"/>
  <c r="H21" i="1" s="1"/>
  <c r="I19" i="1" l="1"/>
  <c r="I21" i="1" s="1"/>
  <c r="J19" i="1" l="1"/>
  <c r="J21" i="1" s="1"/>
  <c r="K19" i="1" l="1"/>
  <c r="K21" i="1" s="1"/>
  <c r="L19" i="1" l="1"/>
  <c r="L21" i="1" s="1"/>
  <c r="M19" i="1" l="1"/>
  <c r="M21" i="1" s="1"/>
  <c r="N19" i="1" l="1"/>
  <c r="N21" i="1" s="1"/>
  <c r="O19" i="1" l="1"/>
  <c r="O21" i="1" s="1"/>
  <c r="P19" i="1" l="1"/>
  <c r="P21" i="1" s="1"/>
  <c r="Q21" i="1" s="1"/>
  <c r="S40" i="1" s="1"/>
  <c r="Q17" i="1"/>
  <c r="Q19" i="1" s="1"/>
  <c r="V40" i="1" s="1"/>
  <c r="R19" i="1" l="1"/>
  <c r="R21" i="1" s="1"/>
  <c r="T19" i="1" l="1"/>
  <c r="T21" i="1" s="1"/>
  <c r="S19" i="1"/>
  <c r="S21" i="1" s="1"/>
  <c r="U19" i="1" l="1"/>
  <c r="U21" i="1" s="1"/>
  <c r="V19" i="1"/>
  <c r="V21" i="1" s="1"/>
  <c r="W19" i="1" l="1"/>
  <c r="W21" i="1" s="1"/>
  <c r="X19" i="1" l="1"/>
  <c r="X21" i="1" s="1"/>
  <c r="Y19" i="1" l="1"/>
  <c r="Y21" i="1" s="1"/>
  <c r="Z19" i="1" l="1"/>
  <c r="Z21" i="1" s="1"/>
  <c r="AA19" i="1" l="1"/>
  <c r="AA21" i="1" s="1"/>
  <c r="AB19" i="1" l="1"/>
  <c r="AB21" i="1" s="1"/>
  <c r="AC19" i="1" l="1"/>
  <c r="AC21" i="1" s="1"/>
  <c r="AD21" i="1" s="1"/>
  <c r="S41" i="1" s="1"/>
  <c r="AD17" i="1"/>
  <c r="AD19" i="1" s="1"/>
  <c r="V41" i="1" s="1"/>
  <c r="W41" i="1" s="1"/>
  <c r="AE19" i="1" l="1"/>
  <c r="AE21" i="1" s="1"/>
  <c r="AF19" i="1" l="1"/>
  <c r="AF21" i="1" s="1"/>
  <c r="AG19" i="1" l="1"/>
  <c r="AG21" i="1" s="1"/>
  <c r="AH19" i="1" l="1"/>
  <c r="AH21" i="1" s="1"/>
  <c r="AI19" i="1" l="1"/>
  <c r="AI21" i="1" s="1"/>
  <c r="AJ19" i="1" l="1"/>
  <c r="AJ21" i="1" s="1"/>
  <c r="AK19" i="1" l="1"/>
  <c r="AK21" i="1" s="1"/>
  <c r="AL19" i="1" l="1"/>
  <c r="AL21" i="1" s="1"/>
  <c r="AM19" i="1" l="1"/>
  <c r="AM21" i="1" s="1"/>
  <c r="AN19" i="1" l="1"/>
  <c r="AN21" i="1" s="1"/>
  <c r="AO19" i="1" l="1"/>
  <c r="AO21" i="1" s="1"/>
  <c r="AP19" i="1" l="1"/>
  <c r="AP21" i="1" s="1"/>
  <c r="AQ21" i="1" s="1"/>
  <c r="S42" i="1" s="1"/>
  <c r="AQ17" i="1"/>
  <c r="AQ19" i="1" s="1"/>
  <c r="V42" i="1" s="1"/>
  <c r="W42" i="1" s="1"/>
  <c r="D17" i="1" l="1"/>
  <c r="D19" i="1" s="1"/>
</calcChain>
</file>

<file path=xl/sharedStrings.xml><?xml version="1.0" encoding="utf-8"?>
<sst xmlns="http://schemas.openxmlformats.org/spreadsheetml/2006/main" count="127" uniqueCount="50">
  <si>
    <t>[지표]</t>
    <phoneticPr fontId="4" type="noConversion"/>
  </si>
  <si>
    <t>단  위  :</t>
    <phoneticPr fontId="4" type="noConversion"/>
  </si>
  <si>
    <t>백만원</t>
    <phoneticPr fontId="4" type="noConversion"/>
  </si>
  <si>
    <t xml:space="preserve">해지율 : </t>
    <phoneticPr fontId="4" type="noConversion"/>
  </si>
  <si>
    <t>구분</t>
    <phoneticPr fontId="2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</si>
  <si>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</si>
  <si>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</si>
  <si>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</si>
  <si>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</si>
  <si>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</si>
  <si>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</si>
  <si>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7월</t>
    <phoneticPr fontId="4" type="noConversion"/>
  </si>
  <si>
    <t>8월</t>
    <phoneticPr fontId="4" type="noConversion"/>
  </si>
  <si>
    <t>9월</t>
    <phoneticPr fontId="4" type="noConversion"/>
  </si>
  <si>
    <t>10월</t>
    <phoneticPr fontId="4" type="noConversion"/>
  </si>
  <si>
    <t>11월</t>
    <phoneticPr fontId="4" type="noConversion"/>
  </si>
  <si>
    <t>12월</t>
    <phoneticPr fontId="4" type="noConversion"/>
  </si>
  <si>
    <t>계</t>
    <phoneticPr fontId="4" type="noConversion"/>
  </si>
  <si>
    <t>구분</t>
    <phoneticPr fontId="4" type="noConversion"/>
  </si>
  <si>
    <t>2021년</t>
    <phoneticPr fontId="2" type="noConversion"/>
  </si>
  <si>
    <t>평균 계약금액</t>
    <phoneticPr fontId="2" type="noConversion"/>
  </si>
  <si>
    <t>건</t>
    <phoneticPr fontId="2" type="noConversion"/>
  </si>
  <si>
    <t>3개년 총계</t>
    <phoneticPr fontId="2" type="noConversion"/>
  </si>
  <si>
    <t>2022년</t>
    <phoneticPr fontId="2" type="noConversion"/>
  </si>
  <si>
    <t>계</t>
    <phoneticPr fontId="2" type="noConversion"/>
  </si>
  <si>
    <t>2023년</t>
    <phoneticPr fontId="2" type="noConversion"/>
  </si>
  <si>
    <t>보존율 :</t>
    <phoneticPr fontId="4" type="noConversion"/>
  </si>
  <si>
    <t>확보
고객수</t>
    <phoneticPr fontId="4" type="noConversion"/>
  </si>
  <si>
    <t>정의</t>
    <phoneticPr fontId="2" type="noConversion"/>
  </si>
  <si>
    <t>누적 매출</t>
    <phoneticPr fontId="2" type="noConversion"/>
  </si>
  <si>
    <t>단위 : 백만원</t>
    <phoneticPr fontId="2" type="noConversion"/>
  </si>
  <si>
    <t>구축 사업</t>
    <phoneticPr fontId="2" type="noConversion"/>
  </si>
  <si>
    <t>단일 판매</t>
    <phoneticPr fontId="2" type="noConversion"/>
  </si>
  <si>
    <t>월정액 판매</t>
    <phoneticPr fontId="2" type="noConversion"/>
  </si>
  <si>
    <t>구축사업</t>
    <phoneticPr fontId="2" type="noConversion"/>
  </si>
  <si>
    <t>일정 수준 기업 대상으로 시스템을 맞춤형으로 구축 제공</t>
    <phoneticPr fontId="2" type="noConversion"/>
  </si>
  <si>
    <t>월정액 판매 = 월단위 누적 발생 (보존율 적용)</t>
    <phoneticPr fontId="2" type="noConversion"/>
  </si>
  <si>
    <t>발생 
매출</t>
    <phoneticPr fontId="4" type="noConversion"/>
  </si>
  <si>
    <t>ARPU 산정</t>
    <phoneticPr fontId="2" type="noConversion"/>
  </si>
  <si>
    <t>사업시작 1년차</t>
    <phoneticPr fontId="2" type="noConversion"/>
  </si>
  <si>
    <t>사업시작 2년차</t>
    <phoneticPr fontId="2" type="noConversion"/>
  </si>
  <si>
    <t>사업시작 3년차</t>
    <phoneticPr fontId="2" type="noConversion"/>
  </si>
  <si>
    <t>평균 ARPU</t>
    <phoneticPr fontId="2" type="noConversion"/>
  </si>
  <si>
    <t>확보 고객수</t>
    <phoneticPr fontId="2" type="noConversion"/>
  </si>
  <si>
    <t>전년대비 1.5배 상승율 적용</t>
    <phoneticPr fontId="2" type="noConversion"/>
  </si>
  <si>
    <t>누적고객</t>
    <phoneticPr fontId="2" type="noConversion"/>
  </si>
  <si>
    <t>-</t>
    <phoneticPr fontId="2" type="noConversion"/>
  </si>
  <si>
    <t>백만</t>
    <phoneticPr fontId="2" type="noConversion"/>
  </si>
  <si>
    <t>명</t>
    <phoneticPr fontId="2" type="noConversion"/>
  </si>
  <si>
    <t>년 매출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</si>
</sst>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_-* #,##0.0_-;\-* #,##0.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6" fillId="0" borderId="0" xfId="0" applyFont="1">
      <alignment vertical="center"/>
    </xf>
    <xf numFmtId="176" fontId="6" fillId="0" borderId="1" xfId="1" applyFont="1" applyBorder="1">
      <alignment vertical="center"/>
    </xf>
    <xf numFmtId="177" fontId="6" fillId="0" borderId="1" xfId="1" applyNumberFormat="1" applyFont="1" applyBorder="1">
      <alignment vertical="center"/>
    </xf>
    <xf numFmtId="176" fontId="6" fillId="0" borderId="6" xfId="1" applyFont="1" applyBorder="1">
      <alignment vertical="center"/>
    </xf>
    <xf numFmtId="176" fontId="6" fillId="0" borderId="7" xfId="1" applyFont="1" applyBorder="1">
      <alignment vertical="center"/>
    </xf>
    <xf numFmtId="176" fontId="6" fillId="0" borderId="8" xfId="1" applyFont="1" applyBorder="1">
      <alignment vertical="center"/>
    </xf>
    <xf numFmtId="176" fontId="6" fillId="0" borderId="9" xfId="1" applyFont="1" applyBorder="1">
      <alignment vertical="center"/>
    </xf>
    <xf numFmtId="176" fontId="6" fillId="0" borderId="10" xfId="1" applyFont="1" applyBorder="1">
      <alignment vertical="center"/>
    </xf>
    <xf numFmtId="177" fontId="6" fillId="0" borderId="8" xfId="1" applyNumberFormat="1" applyFont="1" applyBorder="1">
      <alignment vertical="center"/>
    </xf>
    <xf numFmtId="177" fontId="6" fillId="0" borderId="9" xfId="1" applyNumberFormat="1" applyFont="1" applyBorder="1">
      <alignment vertical="center"/>
    </xf>
    <xf numFmtId="177" fontId="6" fillId="0" borderId="10" xfId="1" applyNumberFormat="1" applyFont="1" applyBorder="1">
      <alignment vertical="center"/>
    </xf>
    <xf numFmtId="176" fontId="3" fillId="2" borderId="5" xfId="1" applyFont="1" applyFill="1" applyBorder="1" applyAlignment="1">
      <alignment horizontal="center" vertical="center"/>
    </xf>
    <xf numFmtId="177" fontId="6" fillId="0" borderId="7" xfId="1" applyNumberFormat="1" applyFont="1" applyBorder="1">
      <alignment vertical="center"/>
    </xf>
    <xf numFmtId="177" fontId="6" fillId="0" borderId="6" xfId="1" applyNumberFormat="1" applyFont="1" applyBorder="1">
      <alignment vertical="center"/>
    </xf>
    <xf numFmtId="176" fontId="3" fillId="2" borderId="4" xfId="1" applyFont="1" applyFill="1" applyBorder="1" applyAlignment="1">
      <alignment horizontal="center" vertical="center"/>
    </xf>
    <xf numFmtId="176" fontId="3" fillId="2" borderId="3" xfId="1" applyFont="1" applyFill="1" applyBorder="1" applyAlignment="1">
      <alignment horizontal="center" vertical="center"/>
    </xf>
    <xf numFmtId="176" fontId="7" fillId="0" borderId="10" xfId="0" applyNumberFormat="1" applyFont="1" applyBorder="1">
      <alignment vertical="center"/>
    </xf>
    <xf numFmtId="176" fontId="3" fillId="3" borderId="11" xfId="1" applyFont="1" applyFill="1" applyBorder="1" applyAlignment="1">
      <alignment horizontal="center" vertical="center"/>
    </xf>
    <xf numFmtId="176" fontId="7" fillId="3" borderId="12" xfId="1" applyFont="1" applyFill="1" applyBorder="1">
      <alignment vertical="center"/>
    </xf>
    <xf numFmtId="176" fontId="7" fillId="3" borderId="10" xfId="1" applyFont="1" applyFill="1" applyBorder="1">
      <alignment vertical="center"/>
    </xf>
    <xf numFmtId="176" fontId="7" fillId="3" borderId="13" xfId="1" applyFont="1" applyFill="1" applyBorder="1">
      <alignment vertical="center"/>
    </xf>
    <xf numFmtId="176" fontId="7" fillId="3" borderId="14" xfId="1" applyFont="1" applyFill="1" applyBorder="1">
      <alignment vertical="center"/>
    </xf>
    <xf numFmtId="177" fontId="7" fillId="3" borderId="10" xfId="0" applyNumberFormat="1" applyFont="1" applyFill="1" applyBorder="1">
      <alignment vertical="center"/>
    </xf>
    <xf numFmtId="177" fontId="7" fillId="3" borderId="13" xfId="0" applyNumberFormat="1" applyFont="1" applyFill="1" applyBorder="1">
      <alignment vertical="center"/>
    </xf>
    <xf numFmtId="177" fontId="7" fillId="3" borderId="14" xfId="0" applyNumberFormat="1" applyFont="1" applyFill="1" applyBorder="1">
      <alignment vertical="center"/>
    </xf>
    <xf numFmtId="176" fontId="3" fillId="3" borderId="15" xfId="1" applyFont="1" applyFill="1" applyBorder="1" applyAlignment="1">
      <alignment horizontal="center" vertical="center"/>
    </xf>
    <xf numFmtId="177" fontId="7" fillId="3" borderId="2" xfId="1" applyNumberFormat="1" applyFont="1" applyFill="1" applyBorder="1">
      <alignment vertical="center"/>
    </xf>
    <xf numFmtId="176" fontId="7" fillId="0" borderId="10" xfId="1" applyFont="1" applyBorder="1">
      <alignment vertical="center"/>
    </xf>
    <xf numFmtId="177" fontId="7" fillId="3" borderId="12" xfId="1" applyNumberFormat="1" applyFont="1" applyFill="1" applyBorder="1">
      <alignment vertical="center"/>
    </xf>
    <xf numFmtId="176" fontId="7" fillId="0" borderId="1" xfId="1" applyFont="1" applyBorder="1">
      <alignment vertical="center"/>
    </xf>
    <xf numFmtId="176" fontId="7" fillId="0" borderId="9" xfId="1" applyFont="1" applyBorder="1">
      <alignment vertical="center"/>
    </xf>
    <xf numFmtId="0" fontId="7" fillId="0" borderId="9" xfId="0" applyFont="1" applyBorder="1">
      <alignment vertical="center"/>
    </xf>
    <xf numFmtId="0" fontId="6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4" borderId="1" xfId="0" applyFont="1" applyFill="1" applyBorder="1">
      <alignment vertical="center"/>
    </xf>
    <xf numFmtId="176" fontId="7" fillId="4" borderId="1" xfId="1" applyFont="1" applyFill="1" applyBorder="1">
      <alignment vertical="center"/>
    </xf>
    <xf numFmtId="0" fontId="7" fillId="4" borderId="1" xfId="0" applyFont="1" applyFill="1" applyBorder="1">
      <alignment vertical="center"/>
    </xf>
    <xf numFmtId="9" fontId="5" fillId="4" borderId="1" xfId="0" applyNumberFormat="1" applyFont="1" applyFill="1" applyBorder="1">
      <alignment vertical="center"/>
    </xf>
    <xf numFmtId="0" fontId="6" fillId="4" borderId="1" xfId="0" applyFont="1" applyFill="1" applyBorder="1">
      <alignment vertical="center"/>
    </xf>
    <xf numFmtId="9" fontId="5" fillId="4" borderId="0" xfId="0" applyNumberFormat="1" applyFont="1" applyFill="1">
      <alignment vertical="center"/>
    </xf>
    <xf numFmtId="0" fontId="5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176" fontId="7" fillId="0" borderId="17" xfId="1" applyFont="1" applyBorder="1">
      <alignment vertical="center"/>
    </xf>
    <xf numFmtId="176" fontId="3" fillId="2" borderId="18" xfId="1" applyFont="1" applyFill="1" applyBorder="1" applyAlignment="1">
      <alignment horizontal="center" vertical="center"/>
    </xf>
    <xf numFmtId="176" fontId="7" fillId="0" borderId="19" xfId="1" applyFont="1" applyBorder="1">
      <alignment vertical="center"/>
    </xf>
    <xf numFmtId="176" fontId="7" fillId="3" borderId="2" xfId="1" applyFont="1" applyFill="1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176" fontId="6" fillId="4" borderId="1" xfId="1" applyFont="1" applyFill="1" applyBorder="1">
      <alignment vertical="center"/>
    </xf>
    <xf numFmtId="177" fontId="6" fillId="3" borderId="21" xfId="1" applyNumberFormat="1" applyFont="1" applyFill="1" applyBorder="1">
      <alignment vertical="center"/>
    </xf>
    <xf numFmtId="177" fontId="6" fillId="3" borderId="22" xfId="1" applyNumberFormat="1" applyFont="1" applyFill="1" applyBorder="1">
      <alignment vertical="center"/>
    </xf>
    <xf numFmtId="177" fontId="8" fillId="5" borderId="23" xfId="1" applyNumberFormat="1" applyFont="1" applyFill="1" applyBorder="1">
      <alignment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2021</a:t>
            </a:r>
            <a:r>
              <a:rPr lang="ko-KR" altLang="en-US" b="1"/>
              <a:t>년 수주 기업 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ore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수주매출!$C$10:$C$12</c:f>
              <c:strCache>
                <c:ptCount val="3"/>
                <c:pt idx="0">
                  <c:v> 구축 사업 </c:v>
                </c:pt>
                <c:pt idx="1">
                  <c:v> 월정액 판매 </c:v>
                </c:pt>
                <c:pt idx="2">
                  <c:v> 단일 판매 </c:v>
                </c:pt>
              </c:strCache>
            </c:strRef>
          </c:cat>
          <c:val>
            <c:numRef>
              <c:f>수주매출!$Q$10:$Q$12</c:f>
              <c:numCache>
                <c:formatCode>_-* #,##0_-;\-* #,##0_-;_-* "-"_-;_-@_-</c:formatCode>
                <c:ptCount val="3"/>
                <c:pt idx="0">
                  <c:v>24</c:v>
                </c:pt>
                <c:pt idx="1">
                  <c:v>159.5</c:v>
                </c:pt>
                <c:pt idx="2">
                  <c:v>150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EC8A-4D1F-8C0D-BED1FC67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32853504"/>
        <c:axId val="-1432850784"/>
        <c:extLst/>
      </c:barChart>
      <c:catAx>
        <c:axId val="-143285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-1432850784"/>
        <c:crosses val="autoZero"/>
        <c:auto val="1"/>
        <c:lblAlgn val="ctr"/>
        <c:lblOffset val="100"/>
        <c:noMultiLvlLbl val="0"/>
      </c:catAx>
      <c:valAx>
        <c:axId val="-1432850784"/>
        <c:scaling>
          <c:orientation val="minMax"/>
        </c:scaling>
        <c:delete val="1"/>
        <c:axPos val="l"/>
        <c:numFmt formatCode="_-* #,##0_-;\-* #,##0_-;_-* &quot;-&quot;_-;_-@_-" sourceLinked="1"/>
        <c:majorTickMark val="none"/>
        <c:minorTickMark val="none"/>
        <c:tickLblPos val="nextTo"/>
        <c:crossAx val="-143285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3</a:t>
            </a:r>
            <a:r>
              <a:rPr lang="ko-KR" altLang="en-US" b="1"/>
              <a:t>개년 매출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ore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수주매출!$C$16:$C$18</c:f>
              <c:strCache>
                <c:ptCount val="3"/>
                <c:pt idx="0">
                  <c:v> 구축 사업 </c:v>
                </c:pt>
                <c:pt idx="1">
                  <c:v> 월정액 판매 </c:v>
                </c:pt>
                <c:pt idx="2">
                  <c:v> 단일 판매 </c:v>
                </c:pt>
              </c:strCache>
            </c:strRef>
          </c:cat>
          <c:val>
            <c:numRef>
              <c:f>수주매출!$D$16:$D$18</c:f>
              <c:numCache>
                <c:formatCode>_-* #,##0_-;\-* #,##0_-;_-* "-"_-;_-@_-</c:formatCode>
                <c:ptCount val="3"/>
                <c:pt idx="0">
                  <c:v>16800</c:v>
                </c:pt>
                <c:pt idx="1">
                  <c:v>3336.7443749999993</c:v>
                </c:pt>
                <c:pt idx="2">
                  <c:v>11240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EC8A-4D1F-8C0D-BED1FC67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32853504"/>
        <c:axId val="-1432850784"/>
        <c:extLst/>
      </c:barChart>
      <c:catAx>
        <c:axId val="-143285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-1432850784"/>
        <c:crosses val="autoZero"/>
        <c:auto val="1"/>
        <c:lblAlgn val="ctr"/>
        <c:lblOffset val="100"/>
        <c:noMultiLvlLbl val="0"/>
      </c:catAx>
      <c:valAx>
        <c:axId val="-1432850784"/>
        <c:scaling>
          <c:orientation val="minMax"/>
        </c:scaling>
        <c:delete val="1"/>
        <c:axPos val="l"/>
        <c:numFmt formatCode="_-* #,##0_-;\-* #,##0_-;_-* &quot;-&quot;_-;_-@_-" sourceLinked="1"/>
        <c:majorTickMark val="none"/>
        <c:minorTickMark val="none"/>
        <c:tickLblPos val="nextTo"/>
        <c:crossAx val="-143285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확보 고객수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(수주매출!$E$9:$P$9,수주매출!$R$9:$AC$9,수주매출!$AE$9:$AP$9)</c:f>
              <c:strCache>
                <c:ptCount val="36"/>
                <c:pt idx="0">
                  <c:v> 1월 </c:v>
                </c:pt>
                <c:pt idx="1">
                  <c:v> 2월 </c:v>
                </c:pt>
                <c:pt idx="2">
                  <c:v> 3월 </c:v>
                </c:pt>
                <c:pt idx="3">
                  <c:v> 4월 </c:v>
                </c:pt>
                <c:pt idx="4">
                  <c:v> 5월 </c:v>
                </c:pt>
                <c:pt idx="5">
                  <c:v> 6월 </c:v>
                </c:pt>
                <c:pt idx="6">
                  <c:v> 7월 </c:v>
                </c:pt>
                <c:pt idx="7">
                  <c:v> 8월 </c:v>
                </c:pt>
                <c:pt idx="8">
                  <c:v> 9월 </c:v>
                </c:pt>
                <c:pt idx="9">
                  <c:v> 10월 </c:v>
                </c:pt>
                <c:pt idx="10">
                  <c:v> 11월 </c:v>
                </c:pt>
                <c:pt idx="11">
                  <c:v> 12월 </c:v>
                </c:pt>
                <c:pt idx="12">
                  <c:v> 1월 </c:v>
                </c:pt>
                <c:pt idx="13">
                  <c:v> 2월 </c:v>
                </c:pt>
                <c:pt idx="14">
                  <c:v> 3월 </c:v>
                </c:pt>
                <c:pt idx="15">
                  <c:v> 4월 </c:v>
                </c:pt>
                <c:pt idx="16">
                  <c:v> 5월 </c:v>
                </c:pt>
                <c:pt idx="17">
                  <c:v> 6월 </c:v>
                </c:pt>
                <c:pt idx="18">
                  <c:v> 7월 </c:v>
                </c:pt>
                <c:pt idx="19">
                  <c:v> 8월 </c:v>
                </c:pt>
                <c:pt idx="20">
                  <c:v> 9월 </c:v>
                </c:pt>
                <c:pt idx="21">
                  <c:v> 10월 </c:v>
                </c:pt>
                <c:pt idx="22">
                  <c:v> 11월 </c:v>
                </c:pt>
                <c:pt idx="23">
                  <c:v> 12월 </c:v>
                </c:pt>
                <c:pt idx="24">
                  <c:v> 1월 </c:v>
                </c:pt>
                <c:pt idx="25">
                  <c:v> 2월 </c:v>
                </c:pt>
                <c:pt idx="26">
                  <c:v> 3월 </c:v>
                </c:pt>
                <c:pt idx="27">
                  <c:v> 4월 </c:v>
                </c:pt>
                <c:pt idx="28">
                  <c:v> 5월 </c:v>
                </c:pt>
                <c:pt idx="29">
                  <c:v> 6월 </c:v>
                </c:pt>
                <c:pt idx="30">
                  <c:v> 7월 </c:v>
                </c:pt>
                <c:pt idx="31">
                  <c:v> 8월 </c:v>
                </c:pt>
                <c:pt idx="32">
                  <c:v> 9월 </c:v>
                </c:pt>
                <c:pt idx="33">
                  <c:v> 10월 </c:v>
                </c:pt>
                <c:pt idx="34">
                  <c:v> 11월 </c:v>
                </c:pt>
                <c:pt idx="35">
                  <c:v> 12월 </c:v>
                </c:pt>
              </c:strCache>
            </c:strRef>
          </c:cat>
          <c:val>
            <c:numRef>
              <c:f>(수주매출!$E$10:$P$10,수주매출!$R$10:$AC$10,수주매출!$AE$10:$AP$10)</c:f>
              <c:numCache>
                <c:formatCode>_-* #,##0_-;\-* #,##0_-;_-* "-"_-;_-@_-</c:formatCode>
                <c:ptCount val="36"/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1-43F7-91E4-E5CD5E20DE3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ore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(수주매출!$E$9:$P$9,수주매출!$R$9:$AC$9,수주매출!$AE$9:$AP$9)</c:f>
              <c:strCache>
                <c:ptCount val="36"/>
                <c:pt idx="0">
                  <c:v> 1월 </c:v>
                </c:pt>
                <c:pt idx="1">
                  <c:v> 2월 </c:v>
                </c:pt>
                <c:pt idx="2">
                  <c:v> 3월 </c:v>
                </c:pt>
                <c:pt idx="3">
                  <c:v> 4월 </c:v>
                </c:pt>
                <c:pt idx="4">
                  <c:v> 5월 </c:v>
                </c:pt>
                <c:pt idx="5">
                  <c:v> 6월 </c:v>
                </c:pt>
                <c:pt idx="6">
                  <c:v> 7월 </c:v>
                </c:pt>
                <c:pt idx="7">
                  <c:v> 8월 </c:v>
                </c:pt>
                <c:pt idx="8">
                  <c:v> 9월 </c:v>
                </c:pt>
                <c:pt idx="9">
                  <c:v> 10월 </c:v>
                </c:pt>
                <c:pt idx="10">
                  <c:v> 11월 </c:v>
                </c:pt>
                <c:pt idx="11">
                  <c:v> 12월 </c:v>
                </c:pt>
                <c:pt idx="12">
                  <c:v> 1월 </c:v>
                </c:pt>
                <c:pt idx="13">
                  <c:v> 2월 </c:v>
                </c:pt>
                <c:pt idx="14">
                  <c:v> 3월 </c:v>
                </c:pt>
                <c:pt idx="15">
                  <c:v> 4월 </c:v>
                </c:pt>
                <c:pt idx="16">
                  <c:v> 5월 </c:v>
                </c:pt>
                <c:pt idx="17">
                  <c:v> 6월 </c:v>
                </c:pt>
                <c:pt idx="18">
                  <c:v> 7월 </c:v>
                </c:pt>
                <c:pt idx="19">
                  <c:v> 8월 </c:v>
                </c:pt>
                <c:pt idx="20">
                  <c:v> 9월 </c:v>
                </c:pt>
                <c:pt idx="21">
                  <c:v> 10월 </c:v>
                </c:pt>
                <c:pt idx="22">
                  <c:v> 11월 </c:v>
                </c:pt>
                <c:pt idx="23">
                  <c:v> 12월 </c:v>
                </c:pt>
                <c:pt idx="24">
                  <c:v> 1월 </c:v>
                </c:pt>
                <c:pt idx="25">
                  <c:v> 2월 </c:v>
                </c:pt>
                <c:pt idx="26">
                  <c:v> 3월 </c:v>
                </c:pt>
                <c:pt idx="27">
                  <c:v> 4월 </c:v>
                </c:pt>
                <c:pt idx="28">
                  <c:v> 5월 </c:v>
                </c:pt>
                <c:pt idx="29">
                  <c:v> 6월 </c:v>
                </c:pt>
                <c:pt idx="30">
                  <c:v> 7월 </c:v>
                </c:pt>
                <c:pt idx="31">
                  <c:v> 8월 </c:v>
                </c:pt>
                <c:pt idx="32">
                  <c:v> 9월 </c:v>
                </c:pt>
                <c:pt idx="33">
                  <c:v> 10월 </c:v>
                </c:pt>
                <c:pt idx="34">
                  <c:v> 11월 </c:v>
                </c:pt>
                <c:pt idx="35">
                  <c:v> 12월 </c:v>
                </c:pt>
              </c:strCache>
            </c:strRef>
          </c:cat>
          <c:val>
            <c:numRef>
              <c:f>(수주매출!$E$11:$P$11,수주매출!$R$11:$AC$11,수주매출!$AE$11:$AP$11)</c:f>
              <c:numCache>
                <c:formatCode>_-* #,##0_-;\-* #,##0_-;_-* "-"_-;_-@_-</c:formatCode>
                <c:ptCount val="36"/>
                <c:pt idx="0">
                  <c:v>10</c:v>
                </c:pt>
                <c:pt idx="1">
                  <c:v>9.5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15</c:v>
                </c:pt>
                <c:pt idx="10">
                  <c:v>10</c:v>
                </c:pt>
                <c:pt idx="11">
                  <c:v>10</c:v>
                </c:pt>
                <c:pt idx="12">
                  <c:v>15</c:v>
                </c:pt>
                <c:pt idx="13">
                  <c:v>14.25</c:v>
                </c:pt>
                <c:pt idx="14">
                  <c:v>22.5</c:v>
                </c:pt>
                <c:pt idx="15">
                  <c:v>22.5</c:v>
                </c:pt>
                <c:pt idx="16">
                  <c:v>30</c:v>
                </c:pt>
                <c:pt idx="17">
                  <c:v>30</c:v>
                </c:pt>
                <c:pt idx="18">
                  <c:v>15</c:v>
                </c:pt>
                <c:pt idx="19">
                  <c:v>15</c:v>
                </c:pt>
                <c:pt idx="20">
                  <c:v>22.5</c:v>
                </c:pt>
                <c:pt idx="21">
                  <c:v>22.5</c:v>
                </c:pt>
                <c:pt idx="22">
                  <c:v>15</c:v>
                </c:pt>
                <c:pt idx="23">
                  <c:v>15</c:v>
                </c:pt>
                <c:pt idx="24">
                  <c:v>22.5</c:v>
                </c:pt>
                <c:pt idx="25">
                  <c:v>21.375</c:v>
                </c:pt>
                <c:pt idx="26">
                  <c:v>33.75</c:v>
                </c:pt>
                <c:pt idx="27">
                  <c:v>33.75</c:v>
                </c:pt>
                <c:pt idx="28">
                  <c:v>45</c:v>
                </c:pt>
                <c:pt idx="29">
                  <c:v>45</c:v>
                </c:pt>
                <c:pt idx="30">
                  <c:v>22.5</c:v>
                </c:pt>
                <c:pt idx="31">
                  <c:v>22.5</c:v>
                </c:pt>
                <c:pt idx="32">
                  <c:v>33.75</c:v>
                </c:pt>
                <c:pt idx="33">
                  <c:v>33.75</c:v>
                </c:pt>
                <c:pt idx="34">
                  <c:v>22.5</c:v>
                </c:pt>
                <c:pt idx="35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1-43F7-91E4-E5CD5E20D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174191"/>
        <c:axId val="1412900639"/>
      </c:lineChart>
      <c:catAx>
        <c:axId val="132717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1412900639"/>
        <c:crosses val="autoZero"/>
        <c:auto val="1"/>
        <c:lblAlgn val="ctr"/>
        <c:lblOffset val="100"/>
        <c:noMultiLvlLbl val="0"/>
      </c:catAx>
      <c:valAx>
        <c:axId val="141290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132717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2021</a:t>
            </a:r>
            <a:r>
              <a:rPr lang="ko-KR" altLang="en-US" b="1"/>
              <a:t>년 매출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ore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수주매출!$C$16:$C$18</c:f>
              <c:strCache>
                <c:ptCount val="3"/>
                <c:pt idx="0">
                  <c:v> 구축 사업 </c:v>
                </c:pt>
                <c:pt idx="1">
                  <c:v> 월정액 판매 </c:v>
                </c:pt>
                <c:pt idx="2">
                  <c:v> 단일 판매 </c:v>
                </c:pt>
              </c:strCache>
            </c:strRef>
          </c:cat>
          <c:val>
            <c:numRef>
              <c:f>수주매출!$Q$16:$Q$18</c:f>
              <c:numCache>
                <c:formatCode>_-* #,##0.0_-;\-* #,##0.0_-;_-* "-"_-;_-@_-</c:formatCode>
                <c:ptCount val="3"/>
                <c:pt idx="0">
                  <c:v>1680</c:v>
                </c:pt>
                <c:pt idx="1">
                  <c:v>300.53249999999991</c:v>
                </c:pt>
                <c:pt idx="2">
                  <c:v>1040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EC8A-4D1F-8C0D-BED1FC67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32853504"/>
        <c:axId val="-1432850784"/>
        <c:extLst/>
      </c:barChart>
      <c:catAx>
        <c:axId val="-143285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-1432850784"/>
        <c:crosses val="autoZero"/>
        <c:auto val="1"/>
        <c:lblAlgn val="ctr"/>
        <c:lblOffset val="100"/>
        <c:noMultiLvlLbl val="0"/>
      </c:catAx>
      <c:valAx>
        <c:axId val="-1432850784"/>
        <c:scaling>
          <c:orientation val="minMax"/>
        </c:scaling>
        <c:delete val="1"/>
        <c:axPos val="l"/>
        <c:numFmt formatCode="_-* #,##0.0_-;\-* #,##0.0_-;_-* &quot;-&quot;_-;_-@_-" sourceLinked="1"/>
        <c:majorTickMark val="none"/>
        <c:minorTickMark val="none"/>
        <c:tickLblPos val="nextTo"/>
        <c:crossAx val="-143285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3</a:t>
            </a:r>
            <a:r>
              <a:rPr lang="ko-KR" altLang="en-US" b="1"/>
              <a:t>개년 수주 기업 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ore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수주매출!$C$10:$C$12</c:f>
              <c:strCache>
                <c:ptCount val="3"/>
                <c:pt idx="0">
                  <c:v> 구축 사업 </c:v>
                </c:pt>
                <c:pt idx="1">
                  <c:v> 월정액 판매 </c:v>
                </c:pt>
                <c:pt idx="2">
                  <c:v> 단일 판매 </c:v>
                </c:pt>
              </c:strCache>
            </c:strRef>
          </c:cat>
          <c:val>
            <c:numRef>
              <c:f>수주매출!$D$10:$D$12</c:f>
              <c:numCache>
                <c:formatCode>_-* #,##0_-;\-* #,##0_-;_-* "-"_-;_-@_-</c:formatCode>
                <c:ptCount val="3"/>
                <c:pt idx="0">
                  <c:v>240</c:v>
                </c:pt>
                <c:pt idx="1">
                  <c:v>757.625</c:v>
                </c:pt>
                <c:pt idx="2">
                  <c:v>712.5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EC8A-4D1F-8C0D-BED1FC67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32853504"/>
        <c:axId val="-1432850784"/>
        <c:extLst/>
      </c:barChart>
      <c:catAx>
        <c:axId val="-143285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-1432850784"/>
        <c:crosses val="autoZero"/>
        <c:auto val="1"/>
        <c:lblAlgn val="ctr"/>
        <c:lblOffset val="100"/>
        <c:noMultiLvlLbl val="0"/>
      </c:catAx>
      <c:valAx>
        <c:axId val="-1432850784"/>
        <c:scaling>
          <c:orientation val="minMax"/>
        </c:scaling>
        <c:delete val="1"/>
        <c:axPos val="l"/>
        <c:numFmt formatCode="_-* #,##0_-;\-* #,##0_-;_-* &quot;-&quot;_-;_-@_-" sourceLinked="1"/>
        <c:majorTickMark val="none"/>
        <c:minorTickMark val="none"/>
        <c:tickLblPos val="nextTo"/>
        <c:crossAx val="-143285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11044</xdr:colOff>
      <xdr:row>21</xdr:row>
      <xdr:rowOff>145912</xdr:rowOff>
    </xdr:from>
    <xdr:to>
      <xdr:col>7</xdr:col>
      <xdr:colOff>543173</xdr:colOff>
      <xdr:row>36</xdr:row>
      <xdr:rowOff>22087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D337920-1208-471C-BBB3-CF7402FEF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511096</xdr:colOff>
      <xdr:row>21</xdr:row>
      <xdr:rowOff>145912</xdr:rowOff>
    </xdr:from>
    <xdr:to>
      <xdr:col>31</xdr:col>
      <xdr:colOff>50344</xdr:colOff>
      <xdr:row>36</xdr:row>
      <xdr:rowOff>22087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C909C73-050B-49FC-9616-65F5ECE98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8739</xdr:colOff>
      <xdr:row>36</xdr:row>
      <xdr:rowOff>121487</xdr:rowOff>
    </xdr:from>
    <xdr:to>
      <xdr:col>14</xdr:col>
      <xdr:colOff>673652</xdr:colOff>
      <xdr:row>52</xdr:row>
      <xdr:rowOff>14749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ED9F25F-275D-4668-A136-09C69A209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691202</xdr:colOff>
      <xdr:row>21</xdr:row>
      <xdr:rowOff>145912</xdr:rowOff>
    </xdr:from>
    <xdr:to>
      <xdr:col>14</xdr:col>
      <xdr:colOff>638410</xdr:colOff>
      <xdr:row>36</xdr:row>
      <xdr:rowOff>22087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22DD6BE-EC84-41CA-B154-995A6ABF7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72757</xdr:colOff>
      <xdr:row>21</xdr:row>
      <xdr:rowOff>145912</xdr:rowOff>
    </xdr:from>
    <xdr:to>
      <xdr:col>23</xdr:col>
      <xdr:colOff>340655</xdr:colOff>
      <xdr:row>36</xdr:row>
      <xdr:rowOff>22087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C383805-34CC-406A-A3A6-237B51E78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2734-2BDC-4B8D-A7CE-F79EB0E150D9}">
  <dimension ref="A2:AR58"/>
  <sheetViews>
    <sheetView showGridLines="0" tabSelected="1" zoomScale="115" zoomScaleNormal="85" workbookViewId="0">
      <selection activeCell="W4" sqref="W4"/>
    </sheetView>
  </sheetViews>
  <sheetFormatPr baseColWidth="10" defaultColWidth="9" defaultRowHeight="15"/>
  <cols>
    <col min="1" max="1" width="2.5" style="1" customWidth="1"/>
    <col min="2" max="2" width="9" style="1"/>
    <col min="3" max="3" width="18.33203125" style="1" bestFit="1" customWidth="1"/>
    <col min="4" max="4" width="11.33203125" style="1" customWidth="1"/>
    <col min="5" max="5" width="9.1640625" style="1" bestFit="1" customWidth="1"/>
    <col min="6" max="6" width="12.33203125" style="1" bestFit="1" customWidth="1"/>
    <col min="7" max="7" width="9.1640625" style="1" bestFit="1" customWidth="1"/>
    <col min="8" max="8" width="12.33203125" style="1" bestFit="1" customWidth="1"/>
    <col min="9" max="9" width="9.1640625" style="1" bestFit="1" customWidth="1"/>
    <col min="10" max="10" width="10.33203125" style="1" bestFit="1" customWidth="1"/>
    <col min="11" max="16" width="9.1640625" style="1" bestFit="1" customWidth="1"/>
    <col min="17" max="17" width="9.33203125" style="1" bestFit="1" customWidth="1"/>
    <col min="18" max="19" width="9.1640625" style="1" bestFit="1" customWidth="1"/>
    <col min="20" max="20" width="11" style="1" bestFit="1" customWidth="1"/>
    <col min="21" max="21" width="9.83203125" style="1" customWidth="1"/>
    <col min="22" max="22" width="10.1640625" style="1" bestFit="1" customWidth="1"/>
    <col min="23" max="23" width="10.83203125" style="1" bestFit="1" customWidth="1"/>
    <col min="24" max="29" width="9.1640625" style="1" bestFit="1" customWidth="1"/>
    <col min="30" max="30" width="10.33203125" style="1" bestFit="1" customWidth="1"/>
    <col min="31" max="42" width="9.1640625" style="1" bestFit="1" customWidth="1"/>
    <col min="43" max="43" width="10.33203125" style="1" bestFit="1" customWidth="1"/>
    <col min="44" max="16384" width="9" style="1"/>
  </cols>
  <sheetData>
    <row r="2" spans="1:44">
      <c r="A2" s="33"/>
      <c r="B2" s="35" t="s">
        <v>0</v>
      </c>
      <c r="C2" s="34"/>
      <c r="D2" s="34"/>
      <c r="E2" s="33"/>
      <c r="F2" s="33"/>
      <c r="G2" s="33"/>
      <c r="H2" s="33" t="s">
        <v>30</v>
      </c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</row>
    <row r="3" spans="1:44">
      <c r="A3" s="33"/>
      <c r="B3" s="36" t="s">
        <v>1</v>
      </c>
      <c r="C3" s="42" t="s">
        <v>2</v>
      </c>
      <c r="D3" s="33"/>
      <c r="E3" s="33"/>
      <c r="F3" s="37" t="s">
        <v>4</v>
      </c>
      <c r="G3" s="38" t="s">
        <v>21</v>
      </c>
      <c r="H3" s="38" t="s">
        <v>20</v>
      </c>
      <c r="I3" s="33"/>
      <c r="J3" s="33" t="s">
        <v>28</v>
      </c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</row>
    <row r="4" spans="1:44">
      <c r="A4" s="33"/>
      <c r="B4" s="36" t="s">
        <v>3</v>
      </c>
      <c r="C4" s="39">
        <v>0.05</v>
      </c>
      <c r="D4" s="33"/>
      <c r="E4" s="33"/>
      <c r="F4" s="37" t="s">
        <v>31</v>
      </c>
      <c r="G4" s="40">
        <v>1</v>
      </c>
      <c r="H4" s="40">
        <v>70</v>
      </c>
      <c r="I4" s="33"/>
      <c r="J4" s="37" t="s">
        <v>34</v>
      </c>
      <c r="K4" s="43" t="s">
        <v>35</v>
      </c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</row>
    <row r="5" spans="1:44">
      <c r="A5" s="33"/>
      <c r="B5" s="36" t="s">
        <v>26</v>
      </c>
      <c r="C5" s="39">
        <v>0.95</v>
      </c>
      <c r="D5" s="33"/>
      <c r="E5" s="33"/>
      <c r="F5" s="37" t="s">
        <v>33</v>
      </c>
      <c r="G5" s="40">
        <v>1</v>
      </c>
      <c r="H5" s="40">
        <v>0.3</v>
      </c>
      <c r="I5" s="33"/>
      <c r="J5" s="37" t="s">
        <v>33</v>
      </c>
      <c r="K5" s="43" t="s">
        <v>36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</row>
    <row r="6" spans="1:44">
      <c r="A6" s="33"/>
      <c r="B6" s="36" t="s">
        <v>26</v>
      </c>
      <c r="C6" s="39">
        <v>1</v>
      </c>
      <c r="D6" s="33"/>
      <c r="E6" s="33"/>
      <c r="F6" s="37" t="s">
        <v>32</v>
      </c>
      <c r="G6" s="40">
        <v>1</v>
      </c>
      <c r="H6" s="40">
        <v>1</v>
      </c>
      <c r="I6" s="33"/>
      <c r="J6" s="37" t="s">
        <v>32</v>
      </c>
      <c r="K6" s="4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</row>
    <row r="7" spans="1:44">
      <c r="A7" s="33"/>
      <c r="B7" s="34"/>
      <c r="C7" s="41"/>
      <c r="D7" s="41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</row>
    <row r="8" spans="1:44" ht="16" thickBot="1">
      <c r="A8" s="33"/>
      <c r="B8" s="33"/>
      <c r="C8" s="33"/>
      <c r="D8" s="33"/>
      <c r="E8" s="33" t="s">
        <v>19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 t="s">
        <v>23</v>
      </c>
      <c r="S8" s="33" t="s">
        <v>44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 t="s">
        <v>25</v>
      </c>
      <c r="AF8" s="33" t="s">
        <v>44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</row>
    <row r="9" spans="1:44" ht="20.25" customHeight="1">
      <c r="A9" s="33"/>
      <c r="B9" s="48" t="s">
        <v>27</v>
      </c>
      <c r="C9" s="15" t="s">
        <v>18</v>
      </c>
      <c r="D9" s="45" t="s">
        <v>22</v>
      </c>
      <c r="E9" s="16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2" t="s">
        <v>16</v>
      </c>
      <c r="Q9" s="26" t="s">
        <v>17</v>
      </c>
      <c r="R9" s="16" t="s">
        <v>5</v>
      </c>
      <c r="S9" s="15" t="s">
        <v>6</v>
      </c>
      <c r="T9" s="15" t="s">
        <v>7</v>
      </c>
      <c r="U9" s="15" t="s">
        <v>8</v>
      </c>
      <c r="V9" s="15" t="s">
        <v>9</v>
      </c>
      <c r="W9" s="15" t="s">
        <v>10</v>
      </c>
      <c r="X9" s="15" t="s">
        <v>11</v>
      </c>
      <c r="Y9" s="15" t="s">
        <v>12</v>
      </c>
      <c r="Z9" s="15" t="s">
        <v>13</v>
      </c>
      <c r="AA9" s="15" t="s">
        <v>14</v>
      </c>
      <c r="AB9" s="15" t="s">
        <v>15</v>
      </c>
      <c r="AC9" s="12" t="s">
        <v>16</v>
      </c>
      <c r="AD9" s="26" t="s">
        <v>17</v>
      </c>
      <c r="AE9" s="16" t="s">
        <v>5</v>
      </c>
      <c r="AF9" s="15" t="s">
        <v>6</v>
      </c>
      <c r="AG9" s="15" t="s">
        <v>7</v>
      </c>
      <c r="AH9" s="15" t="s">
        <v>8</v>
      </c>
      <c r="AI9" s="15" t="s">
        <v>9</v>
      </c>
      <c r="AJ9" s="15" t="s">
        <v>10</v>
      </c>
      <c r="AK9" s="15" t="s">
        <v>11</v>
      </c>
      <c r="AL9" s="15" t="s">
        <v>12</v>
      </c>
      <c r="AM9" s="15" t="s">
        <v>13</v>
      </c>
      <c r="AN9" s="15" t="s">
        <v>14</v>
      </c>
      <c r="AO9" s="15" t="s">
        <v>15</v>
      </c>
      <c r="AP9" s="12" t="s">
        <v>16</v>
      </c>
      <c r="AQ9" s="18" t="s">
        <v>17</v>
      </c>
      <c r="AR9" s="33"/>
    </row>
    <row r="10" spans="1:44" ht="20.25" customHeight="1">
      <c r="A10" s="33"/>
      <c r="B10" s="49"/>
      <c r="C10" s="30" t="str">
        <f>F4</f>
        <v>구축 사업</v>
      </c>
      <c r="D10" s="46">
        <f>Q10+AD10+AQ10</f>
        <v>240</v>
      </c>
      <c r="E10" s="4"/>
      <c r="F10" s="2">
        <v>1</v>
      </c>
      <c r="G10" s="2">
        <v>3</v>
      </c>
      <c r="H10" s="2">
        <v>3</v>
      </c>
      <c r="I10" s="2">
        <v>2</v>
      </c>
      <c r="J10" s="2">
        <v>2</v>
      </c>
      <c r="K10" s="2">
        <v>2</v>
      </c>
      <c r="L10" s="2">
        <v>3</v>
      </c>
      <c r="M10" s="2">
        <v>3</v>
      </c>
      <c r="N10" s="2">
        <v>3</v>
      </c>
      <c r="O10" s="2">
        <v>1</v>
      </c>
      <c r="P10" s="5">
        <v>1</v>
      </c>
      <c r="Q10" s="47">
        <f>SUM(E10:P10)</f>
        <v>24</v>
      </c>
      <c r="R10" s="4">
        <v>8</v>
      </c>
      <c r="S10" s="2">
        <v>8</v>
      </c>
      <c r="T10" s="2">
        <v>8</v>
      </c>
      <c r="U10" s="2">
        <v>8</v>
      </c>
      <c r="V10" s="2">
        <v>8</v>
      </c>
      <c r="W10" s="2">
        <v>8</v>
      </c>
      <c r="X10" s="2">
        <v>8</v>
      </c>
      <c r="Y10" s="2">
        <v>8</v>
      </c>
      <c r="Z10" s="2">
        <v>8</v>
      </c>
      <c r="AA10" s="2">
        <v>8</v>
      </c>
      <c r="AB10" s="2">
        <v>8</v>
      </c>
      <c r="AC10" s="5">
        <v>8</v>
      </c>
      <c r="AD10" s="47">
        <f>SUM(R10:AC10)</f>
        <v>96</v>
      </c>
      <c r="AE10" s="4">
        <v>10</v>
      </c>
      <c r="AF10" s="2">
        <v>10</v>
      </c>
      <c r="AG10" s="2">
        <v>10</v>
      </c>
      <c r="AH10" s="2">
        <v>10</v>
      </c>
      <c r="AI10" s="2">
        <v>10</v>
      </c>
      <c r="AJ10" s="2">
        <v>10</v>
      </c>
      <c r="AK10" s="2">
        <v>10</v>
      </c>
      <c r="AL10" s="2">
        <v>10</v>
      </c>
      <c r="AM10" s="2">
        <v>10</v>
      </c>
      <c r="AN10" s="2">
        <v>10</v>
      </c>
      <c r="AO10" s="2">
        <v>10</v>
      </c>
      <c r="AP10" s="5">
        <v>10</v>
      </c>
      <c r="AQ10" s="19">
        <f>SUM(AE10:AP10)</f>
        <v>120</v>
      </c>
      <c r="AR10" s="33"/>
    </row>
    <row r="11" spans="1:44" ht="20.25" customHeight="1">
      <c r="A11" s="33"/>
      <c r="B11" s="49"/>
      <c r="C11" s="30" t="str">
        <f>F5</f>
        <v>월정액 판매</v>
      </c>
      <c r="D11" s="46">
        <f>Q11+AD11+AQ11</f>
        <v>757.625</v>
      </c>
      <c r="E11" s="4">
        <v>10</v>
      </c>
      <c r="F11" s="2">
        <f>10*$C$5</f>
        <v>9.5</v>
      </c>
      <c r="G11" s="2">
        <v>15</v>
      </c>
      <c r="H11" s="2">
        <v>15</v>
      </c>
      <c r="I11" s="2">
        <v>20</v>
      </c>
      <c r="J11" s="2">
        <v>20</v>
      </c>
      <c r="K11" s="2">
        <v>10</v>
      </c>
      <c r="L11" s="2">
        <v>10</v>
      </c>
      <c r="M11" s="2">
        <v>15</v>
      </c>
      <c r="N11" s="2">
        <v>15</v>
      </c>
      <c r="O11" s="2">
        <v>10</v>
      </c>
      <c r="P11" s="5">
        <v>10</v>
      </c>
      <c r="Q11" s="47">
        <f>SUM(E11:P11)</f>
        <v>159.5</v>
      </c>
      <c r="R11" s="4">
        <f>E11*1.5</f>
        <v>15</v>
      </c>
      <c r="S11" s="2">
        <f>F11*1.5</f>
        <v>14.25</v>
      </c>
      <c r="T11" s="2">
        <f t="shared" ref="T11:AB11" si="0">G11*1.5</f>
        <v>22.5</v>
      </c>
      <c r="U11" s="2">
        <f t="shared" si="0"/>
        <v>22.5</v>
      </c>
      <c r="V11" s="2">
        <f t="shared" si="0"/>
        <v>30</v>
      </c>
      <c r="W11" s="2">
        <f t="shared" si="0"/>
        <v>30</v>
      </c>
      <c r="X11" s="2">
        <f t="shared" si="0"/>
        <v>15</v>
      </c>
      <c r="Y11" s="2">
        <f t="shared" si="0"/>
        <v>15</v>
      </c>
      <c r="Z11" s="2">
        <f t="shared" si="0"/>
        <v>22.5</v>
      </c>
      <c r="AA11" s="2">
        <f t="shared" si="0"/>
        <v>22.5</v>
      </c>
      <c r="AB11" s="2">
        <f t="shared" si="0"/>
        <v>15</v>
      </c>
      <c r="AC11" s="5">
        <f>P11*1.5</f>
        <v>15</v>
      </c>
      <c r="AD11" s="47">
        <f>SUM(R11:AC11)</f>
        <v>239.25</v>
      </c>
      <c r="AE11" s="4">
        <f>R11*1.5</f>
        <v>22.5</v>
      </c>
      <c r="AF11" s="2">
        <f>S11*1.5</f>
        <v>21.375</v>
      </c>
      <c r="AG11" s="2">
        <f t="shared" ref="AG11" si="1">T11*1.5</f>
        <v>33.75</v>
      </c>
      <c r="AH11" s="2">
        <f t="shared" ref="AH11" si="2">U11*1.5</f>
        <v>33.75</v>
      </c>
      <c r="AI11" s="2">
        <f t="shared" ref="AI11" si="3">V11*1.5</f>
        <v>45</v>
      </c>
      <c r="AJ11" s="2">
        <f t="shared" ref="AJ11" si="4">W11*1.5</f>
        <v>45</v>
      </c>
      <c r="AK11" s="2">
        <f t="shared" ref="AK11" si="5">X11*1.5</f>
        <v>22.5</v>
      </c>
      <c r="AL11" s="2">
        <f t="shared" ref="AL11" si="6">Y11*1.5</f>
        <v>22.5</v>
      </c>
      <c r="AM11" s="2">
        <f t="shared" ref="AM11" si="7">Z11*1.5</f>
        <v>33.75</v>
      </c>
      <c r="AN11" s="2">
        <f t="shared" ref="AN11" si="8">AA11*1.5</f>
        <v>33.75</v>
      </c>
      <c r="AO11" s="2">
        <f t="shared" ref="AO11" si="9">AB11*1.5</f>
        <v>22.5</v>
      </c>
      <c r="AP11" s="5">
        <f>AC11*1.5</f>
        <v>22.5</v>
      </c>
      <c r="AQ11" s="19">
        <f>SUM(AE11:AP11)</f>
        <v>358.875</v>
      </c>
      <c r="AR11" s="33"/>
    </row>
    <row r="12" spans="1:44" ht="20.25" customHeight="1" thickBot="1">
      <c r="A12" s="33"/>
      <c r="B12" s="50"/>
      <c r="C12" s="44" t="str">
        <f>F6</f>
        <v>단일 판매</v>
      </c>
      <c r="D12" s="46">
        <f>Q12+AD12+AQ12</f>
        <v>712.5</v>
      </c>
      <c r="E12" s="6"/>
      <c r="F12" s="7">
        <v>10</v>
      </c>
      <c r="G12" s="7">
        <v>15</v>
      </c>
      <c r="H12" s="7">
        <v>20</v>
      </c>
      <c r="I12" s="7">
        <v>20</v>
      </c>
      <c r="J12" s="7">
        <v>20</v>
      </c>
      <c r="K12" s="7">
        <v>20</v>
      </c>
      <c r="L12" s="7">
        <v>20</v>
      </c>
      <c r="M12" s="7">
        <v>10</v>
      </c>
      <c r="N12" s="7">
        <v>10</v>
      </c>
      <c r="O12" s="7">
        <v>5</v>
      </c>
      <c r="P12" s="8"/>
      <c r="Q12" s="47">
        <f>SUM(E12:P12)</f>
        <v>150</v>
      </c>
      <c r="R12" s="6">
        <f>E12*1.5</f>
        <v>0</v>
      </c>
      <c r="S12" s="7">
        <f>F12*1.5</f>
        <v>15</v>
      </c>
      <c r="T12" s="7">
        <f t="shared" ref="T12" si="10">G12*1.5</f>
        <v>22.5</v>
      </c>
      <c r="U12" s="7">
        <f t="shared" ref="U12" si="11">H12*1.5</f>
        <v>30</v>
      </c>
      <c r="V12" s="7">
        <f t="shared" ref="V12" si="12">I12*1.5</f>
        <v>30</v>
      </c>
      <c r="W12" s="7">
        <f t="shared" ref="W12" si="13">J12*1.5</f>
        <v>30</v>
      </c>
      <c r="X12" s="7">
        <f t="shared" ref="X12" si="14">K12*1.5</f>
        <v>30</v>
      </c>
      <c r="Y12" s="7">
        <f t="shared" ref="Y12" si="15">L12*1.5</f>
        <v>30</v>
      </c>
      <c r="Z12" s="7">
        <f t="shared" ref="Z12" si="16">M12*1.5</f>
        <v>15</v>
      </c>
      <c r="AA12" s="7">
        <f t="shared" ref="AA12" si="17">N12*1.5</f>
        <v>15</v>
      </c>
      <c r="AB12" s="7">
        <f t="shared" ref="AB12" si="18">O12*1.5</f>
        <v>7.5</v>
      </c>
      <c r="AC12" s="8">
        <f>P12*1.5</f>
        <v>0</v>
      </c>
      <c r="AD12" s="47">
        <f>SUM(R12:AC12)</f>
        <v>225</v>
      </c>
      <c r="AE12" s="6">
        <f>R12*1.5</f>
        <v>0</v>
      </c>
      <c r="AF12" s="7">
        <f>S12*1.5</f>
        <v>22.5</v>
      </c>
      <c r="AG12" s="7">
        <f t="shared" ref="AG12" si="19">T12*1.5</f>
        <v>33.75</v>
      </c>
      <c r="AH12" s="7">
        <f t="shared" ref="AH12" si="20">U12*1.5</f>
        <v>45</v>
      </c>
      <c r="AI12" s="7">
        <f t="shared" ref="AI12" si="21">V12*1.5</f>
        <v>45</v>
      </c>
      <c r="AJ12" s="7">
        <f t="shared" ref="AJ12" si="22">W12*1.5</f>
        <v>45</v>
      </c>
      <c r="AK12" s="7">
        <f t="shared" ref="AK12" si="23">X12*1.5</f>
        <v>45</v>
      </c>
      <c r="AL12" s="7">
        <f t="shared" ref="AL12" si="24">Y12*1.5</f>
        <v>45</v>
      </c>
      <c r="AM12" s="7">
        <f t="shared" ref="AM12" si="25">Z12*1.5</f>
        <v>22.5</v>
      </c>
      <c r="AN12" s="7">
        <f t="shared" ref="AN12" si="26">AA12*1.5</f>
        <v>22.5</v>
      </c>
      <c r="AO12" s="7">
        <f t="shared" ref="AO12" si="27">AB12*1.5</f>
        <v>11.25</v>
      </c>
      <c r="AP12" s="8">
        <f>AC12*1.5</f>
        <v>0</v>
      </c>
      <c r="AQ12" s="19">
        <f>SUM(AE12:AP12)</f>
        <v>337.5</v>
      </c>
      <c r="AR12" s="33"/>
    </row>
    <row r="13" spans="1:44" ht="20.25" customHeight="1" thickBot="1">
      <c r="A13" s="33"/>
      <c r="B13" s="51"/>
      <c r="C13" s="31" t="s">
        <v>24</v>
      </c>
      <c r="D13" s="28">
        <f>SUM(D10:D11)</f>
        <v>997.625</v>
      </c>
      <c r="E13" s="21">
        <f t="shared" ref="E13:AP13" si="28">SUM(E10:E11)</f>
        <v>10</v>
      </c>
      <c r="F13" s="22">
        <f t="shared" si="28"/>
        <v>10.5</v>
      </c>
      <c r="G13" s="22">
        <f t="shared" si="28"/>
        <v>18</v>
      </c>
      <c r="H13" s="22">
        <f t="shared" si="28"/>
        <v>18</v>
      </c>
      <c r="I13" s="22">
        <f t="shared" si="28"/>
        <v>22</v>
      </c>
      <c r="J13" s="22">
        <f t="shared" si="28"/>
        <v>22</v>
      </c>
      <c r="K13" s="22">
        <f t="shared" si="28"/>
        <v>12</v>
      </c>
      <c r="L13" s="22">
        <f t="shared" si="28"/>
        <v>13</v>
      </c>
      <c r="M13" s="22">
        <f t="shared" si="28"/>
        <v>18</v>
      </c>
      <c r="N13" s="22">
        <f t="shared" si="28"/>
        <v>18</v>
      </c>
      <c r="O13" s="22">
        <f t="shared" si="28"/>
        <v>11</v>
      </c>
      <c r="P13" s="22">
        <f t="shared" si="28"/>
        <v>11</v>
      </c>
      <c r="Q13" s="20">
        <f>SUM(Q10:Q12)</f>
        <v>333.5</v>
      </c>
      <c r="R13" s="21">
        <f t="shared" si="28"/>
        <v>23</v>
      </c>
      <c r="S13" s="22">
        <f t="shared" si="28"/>
        <v>22.25</v>
      </c>
      <c r="T13" s="22">
        <f t="shared" si="28"/>
        <v>30.5</v>
      </c>
      <c r="U13" s="22">
        <f t="shared" si="28"/>
        <v>30.5</v>
      </c>
      <c r="V13" s="22">
        <f t="shared" si="28"/>
        <v>38</v>
      </c>
      <c r="W13" s="22">
        <f t="shared" si="28"/>
        <v>38</v>
      </c>
      <c r="X13" s="22">
        <f t="shared" si="28"/>
        <v>23</v>
      </c>
      <c r="Y13" s="22">
        <f t="shared" si="28"/>
        <v>23</v>
      </c>
      <c r="Z13" s="22">
        <f t="shared" si="28"/>
        <v>30.5</v>
      </c>
      <c r="AA13" s="22">
        <f t="shared" si="28"/>
        <v>30.5</v>
      </c>
      <c r="AB13" s="22">
        <f t="shared" si="28"/>
        <v>23</v>
      </c>
      <c r="AC13" s="22">
        <f t="shared" si="28"/>
        <v>23</v>
      </c>
      <c r="AD13" s="20">
        <f>SUM(AD10:AD12)</f>
        <v>560.25</v>
      </c>
      <c r="AE13" s="21">
        <f t="shared" si="28"/>
        <v>32.5</v>
      </c>
      <c r="AF13" s="22">
        <f t="shared" si="28"/>
        <v>31.375</v>
      </c>
      <c r="AG13" s="22">
        <f t="shared" si="28"/>
        <v>43.75</v>
      </c>
      <c r="AH13" s="22">
        <f t="shared" si="28"/>
        <v>43.75</v>
      </c>
      <c r="AI13" s="22">
        <f t="shared" si="28"/>
        <v>55</v>
      </c>
      <c r="AJ13" s="22">
        <f t="shared" si="28"/>
        <v>55</v>
      </c>
      <c r="AK13" s="22">
        <f t="shared" si="28"/>
        <v>32.5</v>
      </c>
      <c r="AL13" s="22">
        <f t="shared" si="28"/>
        <v>32.5</v>
      </c>
      <c r="AM13" s="22">
        <f t="shared" si="28"/>
        <v>43.75</v>
      </c>
      <c r="AN13" s="22">
        <f t="shared" si="28"/>
        <v>43.75</v>
      </c>
      <c r="AO13" s="22">
        <f t="shared" si="28"/>
        <v>32.5</v>
      </c>
      <c r="AP13" s="22">
        <f t="shared" si="28"/>
        <v>32.5</v>
      </c>
      <c r="AQ13" s="20">
        <f>SUM(AQ10:AQ12)</f>
        <v>816.375</v>
      </c>
      <c r="AR13" s="33"/>
    </row>
    <row r="14" spans="1:44" ht="20.25" customHeight="1" thickBot="1">
      <c r="A14" s="33"/>
      <c r="B14" s="34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</row>
    <row r="15" spans="1:44" ht="20.25" customHeight="1">
      <c r="A15" s="33"/>
      <c r="B15" s="48" t="s">
        <v>37</v>
      </c>
      <c r="C15" s="15" t="s">
        <v>18</v>
      </c>
      <c r="D15" s="45" t="s">
        <v>22</v>
      </c>
      <c r="E15" s="16" t="s">
        <v>5</v>
      </c>
      <c r="F15" s="15" t="s">
        <v>6</v>
      </c>
      <c r="G15" s="15" t="s">
        <v>7</v>
      </c>
      <c r="H15" s="15" t="s">
        <v>8</v>
      </c>
      <c r="I15" s="15" t="s">
        <v>9</v>
      </c>
      <c r="J15" s="15" t="s">
        <v>10</v>
      </c>
      <c r="K15" s="15" t="s">
        <v>11</v>
      </c>
      <c r="L15" s="15" t="s">
        <v>12</v>
      </c>
      <c r="M15" s="15" t="s">
        <v>13</v>
      </c>
      <c r="N15" s="15" t="s">
        <v>14</v>
      </c>
      <c r="O15" s="15" t="s">
        <v>15</v>
      </c>
      <c r="P15" s="12" t="s">
        <v>16</v>
      </c>
      <c r="Q15" s="26" t="s">
        <v>17</v>
      </c>
      <c r="R15" s="16" t="s">
        <v>5</v>
      </c>
      <c r="S15" s="15" t="s">
        <v>6</v>
      </c>
      <c r="T15" s="15" t="s">
        <v>7</v>
      </c>
      <c r="U15" s="15" t="s">
        <v>8</v>
      </c>
      <c r="V15" s="15" t="s">
        <v>9</v>
      </c>
      <c r="W15" s="15" t="s">
        <v>10</v>
      </c>
      <c r="X15" s="15" t="s">
        <v>11</v>
      </c>
      <c r="Y15" s="15" t="s">
        <v>12</v>
      </c>
      <c r="Z15" s="15" t="s">
        <v>13</v>
      </c>
      <c r="AA15" s="15" t="s">
        <v>14</v>
      </c>
      <c r="AB15" s="15" t="s">
        <v>15</v>
      </c>
      <c r="AC15" s="12" t="s">
        <v>16</v>
      </c>
      <c r="AD15" s="26" t="s">
        <v>17</v>
      </c>
      <c r="AE15" s="16" t="s">
        <v>5</v>
      </c>
      <c r="AF15" s="15" t="s">
        <v>6</v>
      </c>
      <c r="AG15" s="15" t="s">
        <v>7</v>
      </c>
      <c r="AH15" s="15" t="s">
        <v>8</v>
      </c>
      <c r="AI15" s="15" t="s">
        <v>9</v>
      </c>
      <c r="AJ15" s="15" t="s">
        <v>10</v>
      </c>
      <c r="AK15" s="15" t="s">
        <v>11</v>
      </c>
      <c r="AL15" s="15" t="s">
        <v>12</v>
      </c>
      <c r="AM15" s="15" t="s">
        <v>13</v>
      </c>
      <c r="AN15" s="15" t="s">
        <v>14</v>
      </c>
      <c r="AO15" s="15" t="s">
        <v>15</v>
      </c>
      <c r="AP15" s="12" t="s">
        <v>16</v>
      </c>
      <c r="AQ15" s="18" t="s">
        <v>17</v>
      </c>
      <c r="AR15" s="33"/>
    </row>
    <row r="16" spans="1:44" ht="20.25" customHeight="1">
      <c r="A16" s="33"/>
      <c r="B16" s="49"/>
      <c r="C16" s="30" t="str">
        <f>C10</f>
        <v>구축 사업</v>
      </c>
      <c r="D16" s="46">
        <f>Q16+AD16+AQ16</f>
        <v>16800</v>
      </c>
      <c r="E16" s="14"/>
      <c r="F16" s="3">
        <f>F10*$H$4</f>
        <v>70</v>
      </c>
      <c r="G16" s="3">
        <f t="shared" ref="G16:P16" si="29">G10*$H$4</f>
        <v>210</v>
      </c>
      <c r="H16" s="3">
        <f t="shared" si="29"/>
        <v>210</v>
      </c>
      <c r="I16" s="3">
        <f t="shared" si="29"/>
        <v>140</v>
      </c>
      <c r="J16" s="3">
        <f t="shared" si="29"/>
        <v>140</v>
      </c>
      <c r="K16" s="3">
        <f t="shared" si="29"/>
        <v>140</v>
      </c>
      <c r="L16" s="3">
        <f t="shared" si="29"/>
        <v>210</v>
      </c>
      <c r="M16" s="3">
        <f t="shared" si="29"/>
        <v>210</v>
      </c>
      <c r="N16" s="3">
        <f t="shared" si="29"/>
        <v>210</v>
      </c>
      <c r="O16" s="3">
        <f t="shared" si="29"/>
        <v>70</v>
      </c>
      <c r="P16" s="13">
        <f t="shared" si="29"/>
        <v>70</v>
      </c>
      <c r="Q16" s="27">
        <f>SUM(E16:P16)</f>
        <v>1680</v>
      </c>
      <c r="R16" s="14">
        <f>R10*$H$4</f>
        <v>560</v>
      </c>
      <c r="S16" s="3">
        <f t="shared" ref="S16:AC16" si="30">S10*$H$4</f>
        <v>560</v>
      </c>
      <c r="T16" s="3">
        <f t="shared" si="30"/>
        <v>560</v>
      </c>
      <c r="U16" s="3">
        <f t="shared" si="30"/>
        <v>560</v>
      </c>
      <c r="V16" s="3">
        <f t="shared" si="30"/>
        <v>560</v>
      </c>
      <c r="W16" s="3">
        <f t="shared" si="30"/>
        <v>560</v>
      </c>
      <c r="X16" s="3">
        <f t="shared" si="30"/>
        <v>560</v>
      </c>
      <c r="Y16" s="3">
        <f t="shared" si="30"/>
        <v>560</v>
      </c>
      <c r="Z16" s="3">
        <f t="shared" si="30"/>
        <v>560</v>
      </c>
      <c r="AA16" s="3">
        <f t="shared" si="30"/>
        <v>560</v>
      </c>
      <c r="AB16" s="3">
        <f t="shared" si="30"/>
        <v>560</v>
      </c>
      <c r="AC16" s="13">
        <f t="shared" si="30"/>
        <v>560</v>
      </c>
      <c r="AD16" s="27">
        <f>SUM(R16:AC16)</f>
        <v>6720</v>
      </c>
      <c r="AE16" s="14">
        <f>AE10*$H$4</f>
        <v>700</v>
      </c>
      <c r="AF16" s="3">
        <f t="shared" ref="AF16:AP16" si="31">AF10*$H$4</f>
        <v>700</v>
      </c>
      <c r="AG16" s="3">
        <f t="shared" si="31"/>
        <v>700</v>
      </c>
      <c r="AH16" s="3">
        <f t="shared" si="31"/>
        <v>700</v>
      </c>
      <c r="AI16" s="3">
        <f t="shared" si="31"/>
        <v>700</v>
      </c>
      <c r="AJ16" s="3">
        <f t="shared" si="31"/>
        <v>700</v>
      </c>
      <c r="AK16" s="3">
        <f t="shared" si="31"/>
        <v>700</v>
      </c>
      <c r="AL16" s="3">
        <f t="shared" si="31"/>
        <v>700</v>
      </c>
      <c r="AM16" s="3">
        <f t="shared" si="31"/>
        <v>700</v>
      </c>
      <c r="AN16" s="3">
        <f t="shared" si="31"/>
        <v>700</v>
      </c>
      <c r="AO16" s="3">
        <f t="shared" si="31"/>
        <v>700</v>
      </c>
      <c r="AP16" s="13">
        <f t="shared" si="31"/>
        <v>700</v>
      </c>
      <c r="AQ16" s="29">
        <f>SUM(AE16:AP16)</f>
        <v>8400</v>
      </c>
      <c r="AR16" s="33"/>
    </row>
    <row r="17" spans="1:44" ht="20.25" customHeight="1">
      <c r="A17" s="33"/>
      <c r="B17" s="49"/>
      <c r="C17" s="30" t="str">
        <f>C11</f>
        <v>월정액 판매</v>
      </c>
      <c r="D17" s="46">
        <f>Q17+AD17+AQ17</f>
        <v>3336.7443749999993</v>
      </c>
      <c r="E17" s="14">
        <f>E11*H5*C5</f>
        <v>2.8499999999999996</v>
      </c>
      <c r="F17" s="3">
        <f>E17+(F11*$H$5*$C$5)</f>
        <v>5.5574999999999992</v>
      </c>
      <c r="G17" s="3">
        <f t="shared" ref="G17:P17" si="32">F17+(G11*$H$5*$C$5)</f>
        <v>9.8324999999999996</v>
      </c>
      <c r="H17" s="3">
        <f t="shared" si="32"/>
        <v>14.107499999999998</v>
      </c>
      <c r="I17" s="3">
        <f t="shared" si="32"/>
        <v>19.807499999999997</v>
      </c>
      <c r="J17" s="3">
        <f t="shared" si="32"/>
        <v>25.507499999999997</v>
      </c>
      <c r="K17" s="3">
        <f t="shared" si="32"/>
        <v>28.357499999999995</v>
      </c>
      <c r="L17" s="3">
        <f t="shared" si="32"/>
        <v>31.207499999999996</v>
      </c>
      <c r="M17" s="3">
        <f t="shared" si="32"/>
        <v>35.482499999999995</v>
      </c>
      <c r="N17" s="3">
        <f t="shared" si="32"/>
        <v>39.757499999999993</v>
      </c>
      <c r="O17" s="3">
        <f t="shared" si="32"/>
        <v>42.607499999999995</v>
      </c>
      <c r="P17" s="13">
        <f t="shared" si="32"/>
        <v>45.457499999999996</v>
      </c>
      <c r="Q17" s="27">
        <f>SUM(E17:P17)</f>
        <v>300.53249999999991</v>
      </c>
      <c r="R17" s="14">
        <f>P17+(R11*$H$5*$C$5)</f>
        <v>49.732499999999995</v>
      </c>
      <c r="S17" s="3">
        <f>R17+(S11*$H$5*$C$5)</f>
        <v>53.793749999999996</v>
      </c>
      <c r="T17" s="3">
        <f t="shared" ref="T17:AC17" si="33">S17+(T11*$H$5*$C$5)</f>
        <v>60.206249999999997</v>
      </c>
      <c r="U17" s="3">
        <f t="shared" si="33"/>
        <v>66.618749999999991</v>
      </c>
      <c r="V17" s="3">
        <f t="shared" si="33"/>
        <v>75.168749999999989</v>
      </c>
      <c r="W17" s="3">
        <f t="shared" si="33"/>
        <v>83.718749999999986</v>
      </c>
      <c r="X17" s="3">
        <f t="shared" si="33"/>
        <v>87.993749999999991</v>
      </c>
      <c r="Y17" s="3">
        <f t="shared" si="33"/>
        <v>92.268749999999997</v>
      </c>
      <c r="Z17" s="3">
        <f t="shared" si="33"/>
        <v>98.681249999999991</v>
      </c>
      <c r="AA17" s="3">
        <f t="shared" si="33"/>
        <v>105.09374999999999</v>
      </c>
      <c r="AB17" s="3">
        <f t="shared" si="33"/>
        <v>109.36874999999999</v>
      </c>
      <c r="AC17" s="13">
        <f t="shared" si="33"/>
        <v>113.64375</v>
      </c>
      <c r="AD17" s="27">
        <f>SUM(R17:AC17)</f>
        <v>996.28874999999982</v>
      </c>
      <c r="AE17" s="14">
        <f>AC17+(AE11*$H$5*$C$5)</f>
        <v>120.05624999999999</v>
      </c>
      <c r="AF17" s="3">
        <f>AE17+(AF11*$H$5*$C$5)</f>
        <v>126.14812499999999</v>
      </c>
      <c r="AG17" s="3">
        <f t="shared" ref="AG17:AP17" si="34">AF17+(AG11*$H$5*$C$5)</f>
        <v>135.766875</v>
      </c>
      <c r="AH17" s="3">
        <f t="shared" si="34"/>
        <v>145.385625</v>
      </c>
      <c r="AI17" s="3">
        <f t="shared" si="34"/>
        <v>158.21062499999999</v>
      </c>
      <c r="AJ17" s="3">
        <f t="shared" si="34"/>
        <v>171.03562499999998</v>
      </c>
      <c r="AK17" s="3">
        <f t="shared" si="34"/>
        <v>177.44812499999998</v>
      </c>
      <c r="AL17" s="3">
        <f t="shared" si="34"/>
        <v>183.86062499999997</v>
      </c>
      <c r="AM17" s="3">
        <f t="shared" si="34"/>
        <v>193.47937499999998</v>
      </c>
      <c r="AN17" s="3">
        <f t="shared" si="34"/>
        <v>203.09812499999998</v>
      </c>
      <c r="AO17" s="3">
        <f t="shared" si="34"/>
        <v>209.51062499999998</v>
      </c>
      <c r="AP17" s="13">
        <f t="shared" si="34"/>
        <v>215.92312499999997</v>
      </c>
      <c r="AQ17" s="29">
        <f>SUM(AE17:AP17)</f>
        <v>2039.9231249999996</v>
      </c>
      <c r="AR17" s="33"/>
    </row>
    <row r="18" spans="1:44" ht="20.25" customHeight="1" thickBot="1">
      <c r="A18" s="33"/>
      <c r="B18" s="50"/>
      <c r="C18" s="44" t="str">
        <f>C12</f>
        <v>단일 판매</v>
      </c>
      <c r="D18" s="46">
        <f>Q18+AD18+AQ18</f>
        <v>11240</v>
      </c>
      <c r="E18" s="9">
        <f>E12*H6*C6</f>
        <v>0</v>
      </c>
      <c r="F18" s="10">
        <f>E18+(F12*$H$6*$C$6)</f>
        <v>10</v>
      </c>
      <c r="G18" s="10">
        <f t="shared" ref="G18:P18" si="35">F18+(G12*$H$6*$C$6)</f>
        <v>25</v>
      </c>
      <c r="H18" s="10">
        <f t="shared" si="35"/>
        <v>45</v>
      </c>
      <c r="I18" s="10">
        <f t="shared" si="35"/>
        <v>65</v>
      </c>
      <c r="J18" s="10">
        <f t="shared" si="35"/>
        <v>85</v>
      </c>
      <c r="K18" s="10">
        <f t="shared" si="35"/>
        <v>105</v>
      </c>
      <c r="L18" s="10">
        <f t="shared" si="35"/>
        <v>125</v>
      </c>
      <c r="M18" s="10">
        <f t="shared" si="35"/>
        <v>135</v>
      </c>
      <c r="N18" s="10">
        <f t="shared" si="35"/>
        <v>145</v>
      </c>
      <c r="O18" s="10">
        <f t="shared" si="35"/>
        <v>150</v>
      </c>
      <c r="P18" s="11">
        <f t="shared" si="35"/>
        <v>150</v>
      </c>
      <c r="Q18" s="27">
        <f>SUM(E18:P18)</f>
        <v>1040</v>
      </c>
      <c r="R18" s="9">
        <f>P18+(R12*$H$6*$C$6)</f>
        <v>150</v>
      </c>
      <c r="S18" s="10">
        <f>R18+(S12*$H$6*$C$6)</f>
        <v>165</v>
      </c>
      <c r="T18" s="10">
        <f t="shared" ref="T18:AC18" si="36">S18+(T12*$H$6*$C$6)</f>
        <v>187.5</v>
      </c>
      <c r="U18" s="10">
        <f t="shared" si="36"/>
        <v>217.5</v>
      </c>
      <c r="V18" s="10">
        <f t="shared" si="36"/>
        <v>247.5</v>
      </c>
      <c r="W18" s="10">
        <f t="shared" si="36"/>
        <v>277.5</v>
      </c>
      <c r="X18" s="10">
        <f t="shared" si="36"/>
        <v>307.5</v>
      </c>
      <c r="Y18" s="10">
        <f t="shared" si="36"/>
        <v>337.5</v>
      </c>
      <c r="Z18" s="10">
        <f t="shared" si="36"/>
        <v>352.5</v>
      </c>
      <c r="AA18" s="10">
        <f t="shared" si="36"/>
        <v>367.5</v>
      </c>
      <c r="AB18" s="10">
        <f t="shared" si="36"/>
        <v>375</v>
      </c>
      <c r="AC18" s="11">
        <f t="shared" si="36"/>
        <v>375</v>
      </c>
      <c r="AD18" s="27">
        <f>SUM(R18:AC18)</f>
        <v>3360</v>
      </c>
      <c r="AE18" s="9">
        <f>AC18+(AE12*$H$6*$C$6)</f>
        <v>375</v>
      </c>
      <c r="AF18" s="10">
        <f>AE18+(AF12*$H$6*$C$6)</f>
        <v>397.5</v>
      </c>
      <c r="AG18" s="10">
        <f t="shared" ref="AG18:AP18" si="37">AF18+(AG12*$H$6*$C$6)</f>
        <v>431.25</v>
      </c>
      <c r="AH18" s="10">
        <f t="shared" si="37"/>
        <v>476.25</v>
      </c>
      <c r="AI18" s="10">
        <f t="shared" si="37"/>
        <v>521.25</v>
      </c>
      <c r="AJ18" s="10">
        <f t="shared" si="37"/>
        <v>566.25</v>
      </c>
      <c r="AK18" s="10">
        <f t="shared" si="37"/>
        <v>611.25</v>
      </c>
      <c r="AL18" s="10">
        <f t="shared" si="37"/>
        <v>656.25</v>
      </c>
      <c r="AM18" s="10">
        <f t="shared" si="37"/>
        <v>678.75</v>
      </c>
      <c r="AN18" s="10">
        <f t="shared" si="37"/>
        <v>701.25</v>
      </c>
      <c r="AO18" s="10">
        <f t="shared" si="37"/>
        <v>712.5</v>
      </c>
      <c r="AP18" s="11">
        <f t="shared" si="37"/>
        <v>712.5</v>
      </c>
      <c r="AQ18" s="29">
        <f>SUM(AE18:AP18)</f>
        <v>6840</v>
      </c>
      <c r="AR18" s="33"/>
    </row>
    <row r="19" spans="1:44" ht="20.25" customHeight="1" thickBot="1">
      <c r="A19" s="33"/>
      <c r="B19" s="51"/>
      <c r="C19" s="32" t="s">
        <v>24</v>
      </c>
      <c r="D19" s="17">
        <f>SUM(D16:D17)</f>
        <v>20136.744374999998</v>
      </c>
      <c r="E19" s="24">
        <f t="shared" ref="E19:AP19" si="38">SUM(E16:E17)</f>
        <v>2.8499999999999996</v>
      </c>
      <c r="F19" s="25">
        <f t="shared" si="38"/>
        <v>75.557500000000005</v>
      </c>
      <c r="G19" s="25">
        <f t="shared" si="38"/>
        <v>219.83250000000001</v>
      </c>
      <c r="H19" s="25">
        <f t="shared" si="38"/>
        <v>224.10749999999999</v>
      </c>
      <c r="I19" s="25">
        <f t="shared" si="38"/>
        <v>159.8075</v>
      </c>
      <c r="J19" s="25">
        <f t="shared" si="38"/>
        <v>165.50749999999999</v>
      </c>
      <c r="K19" s="25">
        <f t="shared" si="38"/>
        <v>168.35749999999999</v>
      </c>
      <c r="L19" s="25">
        <f t="shared" si="38"/>
        <v>241.20749999999998</v>
      </c>
      <c r="M19" s="25">
        <f t="shared" si="38"/>
        <v>245.48249999999999</v>
      </c>
      <c r="N19" s="25">
        <f t="shared" si="38"/>
        <v>249.75749999999999</v>
      </c>
      <c r="O19" s="25">
        <f t="shared" si="38"/>
        <v>112.60749999999999</v>
      </c>
      <c r="P19" s="25">
        <f t="shared" si="38"/>
        <v>115.4575</v>
      </c>
      <c r="Q19" s="23">
        <f>SUM(Q16:Q18)</f>
        <v>3020.5324999999998</v>
      </c>
      <c r="R19" s="24">
        <f t="shared" si="38"/>
        <v>609.73249999999996</v>
      </c>
      <c r="S19" s="25">
        <f t="shared" si="38"/>
        <v>613.79375000000005</v>
      </c>
      <c r="T19" s="25">
        <f t="shared" si="38"/>
        <v>620.20624999999995</v>
      </c>
      <c r="U19" s="25">
        <f t="shared" si="38"/>
        <v>626.61874999999998</v>
      </c>
      <c r="V19" s="25">
        <f t="shared" si="38"/>
        <v>635.16875000000005</v>
      </c>
      <c r="W19" s="25">
        <f t="shared" si="38"/>
        <v>643.71875</v>
      </c>
      <c r="X19" s="25">
        <f t="shared" si="38"/>
        <v>647.99374999999998</v>
      </c>
      <c r="Y19" s="25">
        <f t="shared" si="38"/>
        <v>652.26874999999995</v>
      </c>
      <c r="Z19" s="25">
        <f t="shared" si="38"/>
        <v>658.68124999999998</v>
      </c>
      <c r="AA19" s="25">
        <f t="shared" si="38"/>
        <v>665.09375</v>
      </c>
      <c r="AB19" s="25">
        <f t="shared" si="38"/>
        <v>669.36874999999998</v>
      </c>
      <c r="AC19" s="25">
        <f t="shared" si="38"/>
        <v>673.64374999999995</v>
      </c>
      <c r="AD19" s="23">
        <f>SUM(AD16:AD18)</f>
        <v>11076.28875</v>
      </c>
      <c r="AE19" s="24">
        <f t="shared" si="38"/>
        <v>820.05624999999998</v>
      </c>
      <c r="AF19" s="25">
        <f t="shared" si="38"/>
        <v>826.14812499999994</v>
      </c>
      <c r="AG19" s="25">
        <f t="shared" si="38"/>
        <v>835.76687500000003</v>
      </c>
      <c r="AH19" s="25">
        <f t="shared" si="38"/>
        <v>845.385625</v>
      </c>
      <c r="AI19" s="25">
        <f t="shared" si="38"/>
        <v>858.21062499999994</v>
      </c>
      <c r="AJ19" s="25">
        <f t="shared" si="38"/>
        <v>871.03562499999998</v>
      </c>
      <c r="AK19" s="25">
        <f t="shared" si="38"/>
        <v>877.448125</v>
      </c>
      <c r="AL19" s="25">
        <f t="shared" si="38"/>
        <v>883.86062500000003</v>
      </c>
      <c r="AM19" s="25">
        <f t="shared" si="38"/>
        <v>893.479375</v>
      </c>
      <c r="AN19" s="25">
        <f t="shared" si="38"/>
        <v>903.09812499999998</v>
      </c>
      <c r="AO19" s="25">
        <f t="shared" si="38"/>
        <v>909.510625</v>
      </c>
      <c r="AP19" s="25">
        <f t="shared" si="38"/>
        <v>915.92312500000003</v>
      </c>
      <c r="AQ19" s="23">
        <f>SUM(AQ16:AQ18)</f>
        <v>17279.923125000001</v>
      </c>
      <c r="AR19" s="33"/>
    </row>
    <row r="20" spans="1:44" ht="10" customHeight="1" thickBo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</row>
    <row r="21" spans="1:44" ht="16" thickBot="1">
      <c r="A21" s="33"/>
      <c r="B21" s="62" t="s">
        <v>38</v>
      </c>
      <c r="C21" s="63"/>
      <c r="D21" s="64"/>
      <c r="E21" s="59">
        <f>E19/E13</f>
        <v>0.28499999999999998</v>
      </c>
      <c r="F21" s="60">
        <f t="shared" ref="F21:P21" si="39">F19/F13</f>
        <v>7.1959523809523818</v>
      </c>
      <c r="G21" s="60">
        <f t="shared" si="39"/>
        <v>12.212916666666667</v>
      </c>
      <c r="H21" s="60">
        <f t="shared" si="39"/>
        <v>12.450416666666666</v>
      </c>
      <c r="I21" s="60">
        <f t="shared" si="39"/>
        <v>7.2639772727272733</v>
      </c>
      <c r="J21" s="60">
        <f t="shared" si="39"/>
        <v>7.5230681818181813</v>
      </c>
      <c r="K21" s="60">
        <f t="shared" si="39"/>
        <v>14.029791666666666</v>
      </c>
      <c r="L21" s="60">
        <f t="shared" si="39"/>
        <v>18.554423076923076</v>
      </c>
      <c r="M21" s="60">
        <f t="shared" si="39"/>
        <v>13.637916666666666</v>
      </c>
      <c r="N21" s="60">
        <f t="shared" si="39"/>
        <v>13.875416666666666</v>
      </c>
      <c r="O21" s="60">
        <f t="shared" si="39"/>
        <v>10.237045454545454</v>
      </c>
      <c r="P21" s="60">
        <f t="shared" si="39"/>
        <v>10.496136363636364</v>
      </c>
      <c r="Q21" s="61">
        <f>AVERAGE(E21:P21)</f>
        <v>10.646838421994673</v>
      </c>
      <c r="R21" s="59">
        <f>R19/R13</f>
        <v>26.510108695652171</v>
      </c>
      <c r="S21" s="60">
        <f t="shared" ref="S21:AC21" si="40">S19/S13</f>
        <v>27.586235955056182</v>
      </c>
      <c r="T21" s="60">
        <f t="shared" si="40"/>
        <v>20.334631147540982</v>
      </c>
      <c r="U21" s="60">
        <f t="shared" si="40"/>
        <v>20.544877049180329</v>
      </c>
      <c r="V21" s="60">
        <f t="shared" si="40"/>
        <v>16.71496710526316</v>
      </c>
      <c r="W21" s="60">
        <f t="shared" si="40"/>
        <v>16.939967105263158</v>
      </c>
      <c r="X21" s="60">
        <f t="shared" si="40"/>
        <v>28.173641304347825</v>
      </c>
      <c r="Y21" s="60">
        <f t="shared" si="40"/>
        <v>28.359510869565216</v>
      </c>
      <c r="Z21" s="60">
        <f t="shared" si="40"/>
        <v>21.596106557377048</v>
      </c>
      <c r="AA21" s="60">
        <f t="shared" si="40"/>
        <v>21.806352459016395</v>
      </c>
      <c r="AB21" s="60">
        <f t="shared" si="40"/>
        <v>29.102989130434782</v>
      </c>
      <c r="AC21" s="60">
        <f t="shared" si="40"/>
        <v>29.288858695652173</v>
      </c>
      <c r="AD21" s="61">
        <f>AVERAGE(R21:AC21)</f>
        <v>23.91318717286245</v>
      </c>
      <c r="AE21" s="59">
        <f>AE19/AE13</f>
        <v>25.232499999999998</v>
      </c>
      <c r="AF21" s="60">
        <f t="shared" ref="AF21:AP21" si="41">AF19/AF13</f>
        <v>26.331414342629479</v>
      </c>
      <c r="AG21" s="60">
        <f t="shared" si="41"/>
        <v>19.103242857142856</v>
      </c>
      <c r="AH21" s="60">
        <f t="shared" si="41"/>
        <v>19.3231</v>
      </c>
      <c r="AI21" s="60">
        <f t="shared" si="41"/>
        <v>15.603829545454545</v>
      </c>
      <c r="AJ21" s="60">
        <f t="shared" si="41"/>
        <v>15.837011363636364</v>
      </c>
      <c r="AK21" s="60">
        <f t="shared" si="41"/>
        <v>26.998403846153845</v>
      </c>
      <c r="AL21" s="60">
        <f t="shared" si="41"/>
        <v>27.195711538461538</v>
      </c>
      <c r="AM21" s="60">
        <f t="shared" si="41"/>
        <v>20.422385714285713</v>
      </c>
      <c r="AN21" s="60">
        <f t="shared" si="41"/>
        <v>20.642242857142858</v>
      </c>
      <c r="AO21" s="60">
        <f t="shared" si="41"/>
        <v>27.984942307692307</v>
      </c>
      <c r="AP21" s="60">
        <f t="shared" si="41"/>
        <v>28.18225</v>
      </c>
      <c r="AQ21" s="61">
        <f>AVERAGE(AE21:AP21)</f>
        <v>22.738086197716626</v>
      </c>
      <c r="AR21" s="33"/>
    </row>
    <row r="22" spans="1:44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</row>
    <row r="23" spans="1:44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</row>
    <row r="24" spans="1:4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</row>
    <row r="25" spans="1:44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</row>
    <row r="26" spans="1:44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</row>
    <row r="27" spans="1:44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</row>
    <row r="28" spans="1:44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</row>
    <row r="29" spans="1:44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</row>
    <row r="30" spans="1:44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</row>
    <row r="31" spans="1:44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</row>
    <row r="32" spans="1:44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</row>
    <row r="33" spans="1:44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</row>
    <row r="34" spans="1:4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</row>
    <row r="35" spans="1:44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</row>
    <row r="36" spans="1:44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</row>
    <row r="37" spans="1:44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</row>
    <row r="38" spans="1:44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57" t="s">
        <v>47</v>
      </c>
      <c r="T38" s="57" t="s">
        <v>48</v>
      </c>
      <c r="U38" s="57" t="s">
        <v>48</v>
      </c>
      <c r="V38" s="57" t="s">
        <v>47</v>
      </c>
      <c r="W38" s="57" t="s">
        <v>47</v>
      </c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</row>
    <row r="39" spans="1:44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55" t="s">
        <v>4</v>
      </c>
      <c r="R39" s="56"/>
      <c r="S39" s="52" t="s">
        <v>42</v>
      </c>
      <c r="T39" s="52" t="s">
        <v>43</v>
      </c>
      <c r="U39" s="52" t="s">
        <v>45</v>
      </c>
      <c r="V39" s="40" t="s">
        <v>49</v>
      </c>
      <c r="W39" s="40" t="s">
        <v>29</v>
      </c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</row>
    <row r="40" spans="1:44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55" t="s">
        <v>39</v>
      </c>
      <c r="R40" s="56"/>
      <c r="S40" s="53">
        <f>Q21</f>
        <v>10.646838421994673</v>
      </c>
      <c r="T40" s="54">
        <f>Q13</f>
        <v>333.5</v>
      </c>
      <c r="U40" s="52" t="s">
        <v>46</v>
      </c>
      <c r="V40" s="58">
        <f>Q19</f>
        <v>3020.5324999999998</v>
      </c>
      <c r="W40" s="58" t="s">
        <v>46</v>
      </c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</row>
    <row r="41" spans="1:44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55" t="s">
        <v>40</v>
      </c>
      <c r="R41" s="56"/>
      <c r="S41" s="53">
        <f>AD21</f>
        <v>23.91318717286245</v>
      </c>
      <c r="T41" s="54">
        <f>AD13</f>
        <v>560.25</v>
      </c>
      <c r="U41" s="54">
        <f>T41+T40</f>
        <v>893.75</v>
      </c>
      <c r="V41" s="58">
        <f>AD19</f>
        <v>11076.28875</v>
      </c>
      <c r="W41" s="58">
        <f>V41+V40</f>
        <v>14096.821249999999</v>
      </c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</row>
    <row r="42" spans="1:44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55" t="s">
        <v>41</v>
      </c>
      <c r="R42" s="56"/>
      <c r="S42" s="53">
        <f>AQ21</f>
        <v>22.738086197716626</v>
      </c>
      <c r="T42" s="54">
        <f>AQ13</f>
        <v>816.375</v>
      </c>
      <c r="U42" s="54">
        <f>U41+T42</f>
        <v>1710.125</v>
      </c>
      <c r="V42" s="58">
        <f>AQ19</f>
        <v>17279.923125000001</v>
      </c>
      <c r="W42" s="58">
        <f>V42+W41</f>
        <v>31376.744375000002</v>
      </c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</row>
    <row r="43" spans="1:44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</row>
    <row r="44" spans="1: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</row>
    <row r="45" spans="1:44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</row>
    <row r="46" spans="1:44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</row>
    <row r="47" spans="1:44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</row>
    <row r="48" spans="1:44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</row>
    <row r="49" spans="1:44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</row>
    <row r="50" spans="1:44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</row>
    <row r="51" spans="1:44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</row>
    <row r="52" spans="1:44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</row>
    <row r="53" spans="1:44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</row>
    <row r="54" spans="1:4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</row>
    <row r="55" spans="1:44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</row>
    <row r="56" spans="1:44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</row>
    <row r="57" spans="1:44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</row>
    <row r="58" spans="1:44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</row>
  </sheetData>
  <mergeCells count="7">
    <mergeCell ref="Q42:R42"/>
    <mergeCell ref="B21:D21"/>
    <mergeCell ref="B9:B13"/>
    <mergeCell ref="B15:B19"/>
    <mergeCell ref="Q39:R39"/>
    <mergeCell ref="Q40:R40"/>
    <mergeCell ref="Q41:R4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수주매출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HOJIN</dc:creator>
  <cp:lastModifiedBy>채호진</cp:lastModifiedBy>
  <dcterms:created xsi:type="dcterms:W3CDTF">2020-10-18T22:46:03Z</dcterms:created>
  <dcterms:modified xsi:type="dcterms:W3CDTF">2023-03-14T11:08:15Z</dcterms:modified>
</cp:coreProperties>
</file>