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filterPrivacy="1" codeName="ThisWorkbook"/>
  <xr:revisionPtr revIDLastSave="0" documentId="13_ncr:1_{35179F2A-8C3B-4A67-849A-14F9EE9F0982}" xr6:coauthVersionLast="47" xr6:coauthVersionMax="47" xr10:uidLastSave="{00000000-0000-0000-0000-000000000000}"/>
  <bookViews>
    <workbookView xWindow="-96" yWindow="-96" windowWidth="18336" windowHeight="10812" xr2:uid="{00000000-000D-0000-FFFF-FFFF00000000}"/>
  </bookViews>
  <sheets>
    <sheet name="프로젝트 평가서" sheetId="2" r:id="rId1"/>
    <sheet name="작성요령" sheetId="3" r:id="rId2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2" l="1"/>
  <c r="D59" i="2"/>
  <c r="E59" i="2" s="1"/>
  <c r="C59" i="2"/>
  <c r="C54" i="2"/>
  <c r="C61" i="2" s="1"/>
  <c r="F61" i="2" s="1"/>
  <c r="D54" i="2"/>
  <c r="D61" i="2" s="1"/>
  <c r="E61" i="2" s="1"/>
  <c r="E58" i="2"/>
  <c r="F58" i="2"/>
  <c r="F57" i="2"/>
  <c r="F56" i="2"/>
  <c r="F55" i="2"/>
  <c r="E53" i="2"/>
  <c r="F53" i="2"/>
  <c r="E52" i="2"/>
  <c r="F52" i="2"/>
  <c r="E51" i="2"/>
  <c r="F51" i="2"/>
  <c r="E50" i="2"/>
  <c r="F50" i="2" s="1"/>
  <c r="E49" i="2"/>
  <c r="F49" i="2"/>
  <c r="E57" i="2"/>
  <c r="E56" i="2"/>
  <c r="E55" i="2"/>
  <c r="D60" i="2"/>
  <c r="C60" i="2" l="1"/>
  <c r="F60" i="2" s="1"/>
  <c r="E60" i="2"/>
  <c r="F54" i="2"/>
  <c r="E54" i="2"/>
  <c r="F59" i="2"/>
</calcChain>
</file>

<file path=xl/sharedStrings.xml><?xml version="1.0" encoding="utf-8"?>
<sst xmlns="http://schemas.openxmlformats.org/spreadsheetml/2006/main" count="96" uniqueCount="84">
  <si>
    <t>고객사</t>
    <phoneticPr fontId="20" type="noConversion"/>
  </si>
  <si>
    <t>계약대상회사</t>
    <phoneticPr fontId="20" type="noConversion"/>
  </si>
  <si>
    <t>계약형태</t>
    <phoneticPr fontId="20" type="noConversion"/>
  </si>
  <si>
    <t>고객 담당자 정보</t>
    <phoneticPr fontId="20" type="noConversion"/>
  </si>
  <si>
    <t>부서</t>
    <phoneticPr fontId="20" type="noConversion"/>
  </si>
  <si>
    <t>이름</t>
    <phoneticPr fontId="20" type="noConversion"/>
  </si>
  <si>
    <t>연락처1</t>
    <phoneticPr fontId="20" type="noConversion"/>
  </si>
  <si>
    <t>연락처2</t>
    <phoneticPr fontId="20" type="noConversion"/>
  </si>
  <si>
    <t>구축내용 요약</t>
    <phoneticPr fontId="20" type="noConversion"/>
  </si>
  <si>
    <t>관련회사
(협력업체)</t>
    <phoneticPr fontId="20" type="noConversion"/>
  </si>
  <si>
    <t>회사명</t>
    <phoneticPr fontId="20" type="noConversion"/>
  </si>
  <si>
    <t>참여구분</t>
    <phoneticPr fontId="20" type="noConversion"/>
  </si>
  <si>
    <t>계획</t>
    <phoneticPr fontId="20" type="noConversion"/>
  </si>
  <si>
    <t>차이</t>
    <phoneticPr fontId="20" type="noConversion"/>
  </si>
  <si>
    <t>기간</t>
    <phoneticPr fontId="20" type="noConversion"/>
  </si>
  <si>
    <t>이름</t>
    <phoneticPr fontId="20" type="noConversion"/>
  </si>
  <si>
    <t>역할</t>
    <phoneticPr fontId="20" type="noConversion"/>
  </si>
  <si>
    <t>등급</t>
    <phoneticPr fontId="20" type="noConversion"/>
  </si>
  <si>
    <t>참여기간</t>
    <phoneticPr fontId="20" type="noConversion"/>
  </si>
  <si>
    <t>손익평가</t>
    <phoneticPr fontId="20" type="noConversion"/>
  </si>
  <si>
    <t>참여인원</t>
    <phoneticPr fontId="20" type="noConversion"/>
  </si>
  <si>
    <t>프로젝트명</t>
    <phoneticPr fontId="20" type="noConversion"/>
  </si>
  <si>
    <t>주요 이슈사항</t>
    <phoneticPr fontId="20" type="noConversion"/>
  </si>
  <si>
    <t>손익율(%)</t>
    <phoneticPr fontId="20" type="noConversion"/>
  </si>
  <si>
    <t>1. 프로젝트 개요</t>
    <phoneticPr fontId="20" type="noConversion"/>
  </si>
  <si>
    <t>3. 손익평가 요약</t>
    <phoneticPr fontId="20" type="noConversion"/>
  </si>
  <si>
    <t>주요 산출물</t>
    <phoneticPr fontId="20" type="noConversion"/>
  </si>
  <si>
    <t>구분</t>
    <phoneticPr fontId="20" type="noConversion"/>
  </si>
  <si>
    <t>내용</t>
    <phoneticPr fontId="20" type="noConversion"/>
  </si>
  <si>
    <t>수행기간(개월)</t>
    <phoneticPr fontId="20" type="noConversion"/>
  </si>
  <si>
    <t>원가</t>
    <phoneticPr fontId="20" type="noConversion"/>
  </si>
  <si>
    <t>용역MM</t>
    <phoneticPr fontId="20" type="noConversion"/>
  </si>
  <si>
    <t>용역금액(천원)</t>
    <phoneticPr fontId="20" type="noConversion"/>
  </si>
  <si>
    <t>솔루션금액(천원)</t>
    <phoneticPr fontId="20" type="noConversion"/>
  </si>
  <si>
    <t>기타금액(천원)</t>
    <phoneticPr fontId="20" type="noConversion"/>
  </si>
  <si>
    <t>합계금액(천원)</t>
    <phoneticPr fontId="20" type="noConversion"/>
  </si>
  <si>
    <t>매출</t>
    <phoneticPr fontId="20" type="noConversion"/>
  </si>
  <si>
    <t>손익</t>
    <phoneticPr fontId="20" type="noConversion"/>
  </si>
  <si>
    <t>손익금액(천원)</t>
    <phoneticPr fontId="20" type="noConversion"/>
  </si>
  <si>
    <t>현업담당</t>
    <phoneticPr fontId="20" type="noConversion"/>
  </si>
  <si>
    <t>기술담당</t>
    <phoneticPr fontId="20" type="noConversion"/>
  </si>
  <si>
    <t>산출물 활용방안</t>
    <phoneticPr fontId="20" type="noConversion"/>
  </si>
  <si>
    <t>유사 사업 진행 시
개선사항</t>
    <phoneticPr fontId="20" type="noConversion"/>
  </si>
  <si>
    <t>0. 공통사항</t>
    <phoneticPr fontId="20" type="noConversion"/>
  </si>
  <si>
    <t>본 문서에서 각 항목의 기입요령은 해당 항목명의 메모를 확인하도록 하며,</t>
    <phoneticPr fontId="20" type="noConversion"/>
  </si>
  <si>
    <t>기입항목 중 "연한노랑" 또는 "황갈색"으로 표시된 셀은 자동계산되는 항목이므로 임의로 기입하지 않도록 한다.</t>
    <phoneticPr fontId="20" type="noConversion"/>
  </si>
  <si>
    <t>1. 프로젝트 개요</t>
    <phoneticPr fontId="20" type="noConversion"/>
  </si>
  <si>
    <t>3. 손익평가 요약</t>
    <phoneticPr fontId="20" type="noConversion"/>
  </si>
  <si>
    <r>
      <t>향후</t>
    </r>
    <r>
      <rPr>
        <sz val="10"/>
        <rFont val="맑은 고딕"/>
        <family val="3"/>
        <charset val="129"/>
      </rPr>
      <t xml:space="preserve"> 유사 사업으로 응용, 확대하기 위한 기초자료 및 </t>
    </r>
    <r>
      <rPr>
        <sz val="10"/>
        <rFont val="맑은 고딕"/>
        <family val="3"/>
        <charset val="129"/>
      </rPr>
      <t>프로젝트 참여</t>
    </r>
    <r>
      <rPr>
        <sz val="10"/>
        <rFont val="맑은 고딕"/>
        <family val="3"/>
        <charset val="129"/>
      </rPr>
      <t xml:space="preserve"> 인원에 대한 인사평가 지침으로 활용한다.</t>
    </r>
    <phoneticPr fontId="20" type="noConversion"/>
  </si>
  <si>
    <r>
      <t>본 문서는</t>
    </r>
    <r>
      <rPr>
        <sz val="10"/>
        <rFont val="맑은 고딕"/>
        <family val="3"/>
        <charset val="129"/>
      </rPr>
      <t xml:space="preserve"> 해당 프로젝트 관리자(PM)가 작성한 후 영업 담당자와 부서장의 리뷰를 가져 최종 완료한다.</t>
    </r>
    <phoneticPr fontId="20" type="noConversion"/>
  </si>
  <si>
    <t>고객사 평가내용
(만족도, 불만사항,
개선요구사항 등)</t>
    <phoneticPr fontId="20" type="noConversion"/>
  </si>
  <si>
    <t>프로젝트 수행의의
및 Business Goal
달성도</t>
    <phoneticPr fontId="20" type="noConversion"/>
  </si>
  <si>
    <r>
      <t>본 문서는 프로젝트</t>
    </r>
    <r>
      <rPr>
        <sz val="10"/>
        <rFont val="맑은 고딕"/>
        <family val="3"/>
        <charset val="129"/>
      </rPr>
      <t xml:space="preserve"> 완료 후 </t>
    </r>
    <r>
      <rPr>
        <sz val="10"/>
        <rFont val="맑은 고딕"/>
        <family val="3"/>
        <charset val="129"/>
      </rPr>
      <t>프로젝트</t>
    </r>
    <r>
      <rPr>
        <sz val="10"/>
        <rFont val="맑은 고딕"/>
        <family val="3"/>
        <charset val="129"/>
      </rPr>
      <t xml:space="preserve"> 수행 내용을 정리하고, 프로젝트 계획 시점 대비 달성도 및 수행 결과를 평가하여,</t>
    </r>
    <phoneticPr fontId="20" type="noConversion"/>
  </si>
  <si>
    <r>
      <t>향후</t>
    </r>
    <r>
      <rPr>
        <sz val="10"/>
        <rFont val="맑은 고딕"/>
        <family val="3"/>
        <charset val="129"/>
      </rPr>
      <t xml:space="preserve"> 타 프로젝트 및 유사 사업에서 참고할 수 있도록, 관련 정보를 </t>
    </r>
    <r>
      <rPr>
        <sz val="10"/>
        <rFont val="맑은 고딕"/>
        <family val="3"/>
        <charset val="129"/>
      </rPr>
      <t>구체적이고 정확하게</t>
    </r>
    <r>
      <rPr>
        <sz val="10"/>
        <rFont val="맑은 고딕"/>
        <family val="3"/>
        <charset val="129"/>
      </rPr>
      <t xml:space="preserve"> 기입한다.</t>
    </r>
    <phoneticPr fontId="20" type="noConversion"/>
  </si>
  <si>
    <r>
      <t>특히,</t>
    </r>
    <r>
      <rPr>
        <sz val="10"/>
        <rFont val="맑은 고딕"/>
        <family val="3"/>
        <charset val="129"/>
      </rPr>
      <t xml:space="preserve"> 고객사측 담당자 정보는 이후 영업지속 및 추가사업 확대를 위하여 반드시 기입하고,</t>
    </r>
    <phoneticPr fontId="20" type="noConversion"/>
  </si>
  <si>
    <r>
      <t>관련회사 정보</t>
    </r>
    <r>
      <rPr>
        <sz val="10"/>
        <rFont val="맑은 고딕"/>
        <family val="3"/>
        <charset val="129"/>
      </rPr>
      <t xml:space="preserve"> 역시 유사 사업 진행시 참고하기 위하여 가능한 자세하게 기입한다.</t>
    </r>
    <phoneticPr fontId="20" type="noConversion"/>
  </si>
  <si>
    <r>
      <t>해당</t>
    </r>
    <r>
      <rPr>
        <sz val="10"/>
        <rFont val="맑은 고딕"/>
        <family val="3"/>
        <charset val="129"/>
      </rPr>
      <t xml:space="preserve"> 내용은 </t>
    </r>
    <r>
      <rPr>
        <sz val="10"/>
        <rFont val="맑은 고딕"/>
        <family val="3"/>
        <charset val="129"/>
      </rPr>
      <t>프로젝트 계획</t>
    </r>
    <r>
      <rPr>
        <sz val="10"/>
        <rFont val="맑은 고딕"/>
        <family val="3"/>
        <charset val="129"/>
      </rPr>
      <t xml:space="preserve"> 시점에 협의된 내용과</t>
    </r>
    <phoneticPr fontId="20" type="noConversion"/>
  </si>
  <si>
    <r>
      <t>프로젝트 완료</t>
    </r>
    <r>
      <rPr>
        <sz val="10"/>
        <rFont val="맑은 고딕"/>
        <family val="3"/>
        <charset val="129"/>
      </rPr>
      <t xml:space="preserve"> 후 참여인원과 평가회의를 진행하여 공유된 내용을 기반으로 작성한다.</t>
    </r>
    <phoneticPr fontId="20" type="noConversion"/>
  </si>
  <si>
    <r>
      <t>최종</t>
    </r>
    <r>
      <rPr>
        <sz val="10"/>
        <rFont val="맑은 고딕"/>
        <family val="3"/>
        <charset val="129"/>
      </rPr>
      <t xml:space="preserve"> 완료 정보를 기초로 별도 문서인 "손익평가서"를 작성하고,</t>
    </r>
    <r>
      <rPr>
        <sz val="10"/>
        <rFont val="맑은 고딕"/>
        <family val="3"/>
        <charset val="129"/>
      </rPr>
      <t/>
    </r>
    <phoneticPr fontId="20" type="noConversion"/>
  </si>
  <si>
    <r>
      <t>해당 문서로부터</t>
    </r>
    <r>
      <rPr>
        <sz val="10"/>
        <rFont val="맑은 고딕"/>
        <family val="3"/>
        <charset val="129"/>
      </rPr>
      <t xml:space="preserve"> 손익정보를 가져와 요약한다.</t>
    </r>
    <phoneticPr fontId="20" type="noConversion"/>
  </si>
  <si>
    <t>개시일자</t>
    <phoneticPr fontId="20" type="noConversion"/>
  </si>
  <si>
    <t>종료일자</t>
    <phoneticPr fontId="20" type="noConversion"/>
  </si>
  <si>
    <t>총 개월수</t>
    <phoneticPr fontId="20" type="noConversion"/>
  </si>
  <si>
    <t>2. 수행 내용</t>
    <phoneticPr fontId="20" type="noConversion"/>
  </si>
  <si>
    <t>2. 수행 내용</t>
    <phoneticPr fontId="20" type="noConversion"/>
  </si>
  <si>
    <t>개발/운영환경</t>
  </si>
  <si>
    <t>인원투입</t>
  </si>
  <si>
    <t>기타</t>
  </si>
  <si>
    <t>기타</t>
    <phoneticPr fontId="20" type="noConversion"/>
  </si>
  <si>
    <t>작업범위산정</t>
  </si>
  <si>
    <t>인원투입</t>
    <phoneticPr fontId="20" type="noConversion"/>
  </si>
  <si>
    <t>고객사 명</t>
    <phoneticPr fontId="20" type="noConversion"/>
  </si>
  <si>
    <t>프로젝트 명</t>
    <phoneticPr fontId="20" type="noConversion"/>
  </si>
  <si>
    <t>기획부</t>
    <phoneticPr fontId="20" type="noConversion"/>
  </si>
  <si>
    <t>홍길동</t>
    <phoneticPr fontId="20" type="noConversion"/>
  </si>
  <si>
    <t>기획관리부</t>
    <phoneticPr fontId="20" type="noConversion"/>
  </si>
  <si>
    <t>홍길순</t>
    <phoneticPr fontId="20" type="noConversion"/>
  </si>
  <si>
    <t>개발부</t>
    <phoneticPr fontId="20" type="noConversion"/>
  </si>
  <si>
    <t>홍길자</t>
    <phoneticPr fontId="20" type="noConversion"/>
  </si>
  <si>
    <t>실행</t>
    <phoneticPr fontId="20" type="noConversion"/>
  </si>
  <si>
    <r>
      <t>P</t>
    </r>
    <r>
      <rPr>
        <sz val="10"/>
        <color theme="1"/>
        <rFont val="맑은 고딕"/>
        <family val="2"/>
        <charset val="129"/>
      </rPr>
      <t>roject Manager</t>
    </r>
    <phoneticPr fontId="20" type="noConversion"/>
  </si>
  <si>
    <t>주요 담당작업 및 역할</t>
    <phoneticPr fontId="20" type="noConversion"/>
  </si>
  <si>
    <t>MM</t>
    <phoneticPr fontId="20" type="noConversion"/>
  </si>
  <si>
    <t>달성율(%)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</si>
</sst>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₩&quot;#,##0;[Red]\-&quot;₩&quot;#,##0"/>
    <numFmt numFmtId="176" formatCode="&quot;₩&quot;#,##0"/>
    <numFmt numFmtId="177" formatCode="0_);[Red]\(0\)"/>
    <numFmt numFmtId="178" formatCode="0.0%"/>
    <numFmt numFmtId="179" formatCode="0.0_);[Red]\(0.0\)"/>
    <numFmt numFmtId="180" formatCode="0.0_ ;[Red]\-0.0\ "/>
    <numFmt numFmtId="181" formatCode="###&quot; 개월&quot;"/>
  </numFmts>
  <fonts count="28" x14ac:knownFonts="1">
    <font>
      <sz val="10"/>
      <name val="맑은 고딕"/>
      <family val="3"/>
      <charset val="129"/>
    </font>
    <font>
      <sz val="11"/>
      <name val="돋움"/>
      <family val="3"/>
      <charset val="129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8"/>
      <name val="돋움"/>
      <family val="3"/>
      <charset val="129"/>
    </font>
    <font>
      <b/>
      <sz val="14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color theme="1"/>
      <name val="맑은 고딕"/>
      <family val="2"/>
      <charset val="129"/>
    </font>
    <font>
      <b/>
      <sz val="10"/>
      <color theme="1"/>
      <name val="맑은 고딕"/>
      <family val="3"/>
      <charset val="129"/>
    </font>
    <font>
      <b/>
      <sz val="10"/>
      <color theme="1"/>
      <name val="맑은 고딕"/>
      <family val="2"/>
      <charset val="129"/>
    </font>
    <font>
      <sz val="10"/>
      <color theme="1"/>
      <name val="맑은 고딕"/>
      <family val="3"/>
      <charset val="129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4">
    <xf numFmtId="0" fontId="0" fillId="0" borderId="0">
      <alignment vertical="center"/>
    </xf>
    <xf numFmtId="0" fontId="3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2" fillId="21" borderId="2" applyNumberFormat="0" applyFont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3" borderId="3" applyNumberFormat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7" borderId="1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9" fillId="20" borderId="9" applyNumberFormat="0" applyAlignment="0" applyProtection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63">
    <xf numFmtId="0" fontId="0" fillId="0" borderId="0" xfId="0">
      <alignment vertical="center"/>
    </xf>
    <xf numFmtId="0" fontId="21" fillId="0" borderId="0" xfId="42" applyFont="1">
      <alignment vertical="center"/>
    </xf>
    <xf numFmtId="0" fontId="22" fillId="0" borderId="0" xfId="42" applyFont="1">
      <alignment vertical="center"/>
    </xf>
    <xf numFmtId="0" fontId="22" fillId="0" borderId="0" xfId="0" applyFont="1">
      <alignment vertical="center"/>
    </xf>
    <xf numFmtId="0" fontId="22" fillId="0" borderId="10" xfId="0" applyFont="1" applyBorder="1" applyAlignment="1">
      <alignment horizontal="center" vertical="top"/>
    </xf>
    <xf numFmtId="0" fontId="22" fillId="0" borderId="10" xfId="0" applyFont="1" applyBorder="1" applyAlignment="1">
      <alignment horizontal="center" vertical="top" shrinkToFit="1"/>
    </xf>
    <xf numFmtId="0" fontId="22" fillId="0" borderId="10" xfId="42" applyFont="1" applyBorder="1" applyAlignment="1">
      <alignment horizontal="center" vertical="center" shrinkToFit="1"/>
    </xf>
    <xf numFmtId="179" fontId="22" fillId="0" borderId="10" xfId="42" applyNumberFormat="1" applyFont="1" applyBorder="1" applyAlignment="1">
      <alignment horizontal="right" vertical="center" shrinkToFit="1"/>
    </xf>
    <xf numFmtId="177" fontId="22" fillId="0" borderId="10" xfId="42" applyNumberFormat="1" applyFont="1" applyBorder="1" applyAlignment="1">
      <alignment horizontal="right" vertical="center" shrinkToFit="1"/>
    </xf>
    <xf numFmtId="176" fontId="22" fillId="0" borderId="10" xfId="42" applyNumberFormat="1" applyFont="1" applyBorder="1" applyAlignment="1">
      <alignment horizontal="right" vertical="center" shrinkToFit="1"/>
    </xf>
    <xf numFmtId="180" fontId="23" fillId="24" borderId="10" xfId="42" applyNumberFormat="1" applyFont="1" applyFill="1" applyBorder="1" applyAlignment="1">
      <alignment horizontal="right" vertical="center" shrinkToFit="1"/>
    </xf>
    <xf numFmtId="178" fontId="22" fillId="24" borderId="10" xfId="42" applyNumberFormat="1" applyFont="1" applyFill="1" applyBorder="1" applyAlignment="1">
      <alignment horizontal="right" vertical="center" shrinkToFit="1"/>
    </xf>
    <xf numFmtId="180" fontId="22" fillId="24" borderId="10" xfId="42" applyNumberFormat="1" applyFont="1" applyFill="1" applyBorder="1" applyAlignment="1">
      <alignment horizontal="right" vertical="center" shrinkToFit="1"/>
    </xf>
    <xf numFmtId="6" fontId="22" fillId="24" borderId="10" xfId="42" applyNumberFormat="1" applyFont="1" applyFill="1" applyBorder="1" applyAlignment="1">
      <alignment horizontal="right" vertical="center" shrinkToFit="1"/>
    </xf>
    <xf numFmtId="178" fontId="23" fillId="24" borderId="10" xfId="42" applyNumberFormat="1" applyFont="1" applyFill="1" applyBorder="1" applyAlignment="1">
      <alignment horizontal="right" vertical="center" shrinkToFit="1"/>
    </xf>
    <xf numFmtId="176" fontId="22" fillId="24" borderId="10" xfId="42" applyNumberFormat="1" applyFont="1" applyFill="1" applyBorder="1" applyAlignment="1">
      <alignment horizontal="right" vertical="center" shrinkToFit="1"/>
    </xf>
    <xf numFmtId="0" fontId="23" fillId="0" borderId="0" xfId="43" applyFont="1">
      <alignment vertical="center"/>
    </xf>
    <xf numFmtId="0" fontId="22" fillId="0" borderId="0" xfId="43" applyFont="1">
      <alignment vertical="center"/>
    </xf>
    <xf numFmtId="181" fontId="22" fillId="0" borderId="14" xfId="42" applyNumberFormat="1" applyFont="1" applyBorder="1" applyAlignment="1">
      <alignment horizontal="center" vertical="center"/>
    </xf>
    <xf numFmtId="14" fontId="0" fillId="0" borderId="13" xfId="42" applyNumberFormat="1" applyFont="1" applyBorder="1" applyAlignment="1">
      <alignment horizontal="center" vertical="center"/>
    </xf>
    <xf numFmtId="14" fontId="0" fillId="0" borderId="15" xfId="42" applyNumberFormat="1" applyFont="1" applyBorder="1" applyAlignment="1">
      <alignment horizontal="center" vertical="center"/>
    </xf>
    <xf numFmtId="0" fontId="0" fillId="0" borderId="10" xfId="42" applyFont="1" applyBorder="1" applyAlignment="1">
      <alignment horizontal="center" vertical="center" shrinkToFit="1"/>
    </xf>
    <xf numFmtId="0" fontId="0" fillId="0" borderId="10" xfId="0" applyBorder="1" applyAlignment="1">
      <alignment horizontal="center" vertical="top" shrinkToFit="1"/>
    </xf>
    <xf numFmtId="0" fontId="0" fillId="0" borderId="10" xfId="0" applyBorder="1" applyAlignment="1">
      <alignment horizontal="center" vertical="top"/>
    </xf>
    <xf numFmtId="0" fontId="0" fillId="0" borderId="0" xfId="42" applyFont="1">
      <alignment vertical="center"/>
    </xf>
    <xf numFmtId="0" fontId="25" fillId="25" borderId="10" xfId="42" applyFont="1" applyFill="1" applyBorder="1" applyAlignment="1">
      <alignment horizontal="center" vertical="center"/>
    </xf>
    <xf numFmtId="0" fontId="26" fillId="25" borderId="10" xfId="42" applyFont="1" applyFill="1" applyBorder="1" applyAlignment="1">
      <alignment horizontal="center" vertical="center"/>
    </xf>
    <xf numFmtId="0" fontId="27" fillId="25" borderId="11" xfId="42" applyFont="1" applyFill="1" applyBorder="1" applyAlignment="1">
      <alignment horizontal="center" vertical="center"/>
    </xf>
    <xf numFmtId="0" fontId="27" fillId="25" borderId="10" xfId="42" applyFont="1" applyFill="1" applyBorder="1" applyAlignment="1">
      <alignment horizontal="center" vertical="center"/>
    </xf>
    <xf numFmtId="0" fontId="24" fillId="25" borderId="10" xfId="42" applyFont="1" applyFill="1" applyBorder="1" applyAlignment="1">
      <alignment horizontal="center" vertical="center"/>
    </xf>
    <xf numFmtId="0" fontId="24" fillId="25" borderId="10" xfId="0" applyFont="1" applyFill="1" applyBorder="1" applyAlignment="1">
      <alignment horizontal="center" vertical="center"/>
    </xf>
    <xf numFmtId="0" fontId="24" fillId="25" borderId="13" xfId="0" applyFont="1" applyFill="1" applyBorder="1" applyAlignment="1">
      <alignment horizontal="center" vertical="center"/>
    </xf>
    <xf numFmtId="0" fontId="25" fillId="25" borderId="10" xfId="42" applyFont="1" applyFill="1" applyBorder="1" applyAlignment="1">
      <alignment horizontal="center" vertical="center" wrapText="1"/>
    </xf>
    <xf numFmtId="0" fontId="27" fillId="25" borderId="10" xfId="0" applyFont="1" applyFill="1" applyBorder="1" applyAlignment="1">
      <alignment horizontal="center" vertical="center"/>
    </xf>
    <xf numFmtId="0" fontId="25" fillId="25" borderId="12" xfId="42" applyFont="1" applyFill="1" applyBorder="1" applyAlignment="1">
      <alignment horizontal="center" vertical="center" wrapText="1"/>
    </xf>
    <xf numFmtId="0" fontId="24" fillId="25" borderId="11" xfId="42" applyFont="1" applyFill="1" applyBorder="1" applyAlignment="1">
      <alignment horizontal="center" vertical="center"/>
    </xf>
    <xf numFmtId="176" fontId="24" fillId="25" borderId="10" xfId="42" applyNumberFormat="1" applyFont="1" applyFill="1" applyBorder="1" applyAlignment="1">
      <alignment horizontal="left" vertical="center"/>
    </xf>
    <xf numFmtId="0" fontId="0" fillId="0" borderId="13" xfId="0" applyBorder="1" applyAlignment="1">
      <alignment horizontal="left" vertical="top" wrapText="1" shrinkToFit="1"/>
    </xf>
    <xf numFmtId="0" fontId="22" fillId="0" borderId="15" xfId="0" applyFont="1" applyBorder="1" applyAlignment="1">
      <alignment horizontal="left" vertical="top" shrinkToFit="1"/>
    </xf>
    <xf numFmtId="0" fontId="22" fillId="0" borderId="14" xfId="0" applyFont="1" applyBorder="1" applyAlignment="1">
      <alignment horizontal="left" vertical="top" shrinkToFit="1"/>
    </xf>
    <xf numFmtId="0" fontId="0" fillId="0" borderId="13" xfId="0" applyBorder="1" applyAlignment="1">
      <alignment horizontal="left" vertical="top" shrinkToFit="1"/>
    </xf>
    <xf numFmtId="0" fontId="26" fillId="25" borderId="10" xfId="42" applyFont="1" applyFill="1" applyBorder="1" applyAlignment="1">
      <alignment horizontal="center" vertical="center"/>
    </xf>
    <xf numFmtId="0" fontId="0" fillId="0" borderId="13" xfId="42" applyFont="1" applyBorder="1" applyAlignment="1">
      <alignment horizontal="left" vertical="center"/>
    </xf>
    <xf numFmtId="0" fontId="22" fillId="0" borderId="15" xfId="42" applyFont="1" applyBorder="1" applyAlignment="1">
      <alignment horizontal="left" vertical="center"/>
    </xf>
    <xf numFmtId="0" fontId="22" fillId="0" borderId="14" xfId="42" applyFont="1" applyBorder="1" applyAlignment="1">
      <alignment horizontal="left" vertical="center"/>
    </xf>
    <xf numFmtId="0" fontId="26" fillId="25" borderId="12" xfId="0" applyFont="1" applyFill="1" applyBorder="1" applyAlignment="1">
      <alignment horizontal="center" vertical="center" wrapText="1"/>
    </xf>
    <xf numFmtId="0" fontId="26" fillId="25" borderId="16" xfId="0" applyFont="1" applyFill="1" applyBorder="1" applyAlignment="1">
      <alignment horizontal="center" vertical="center"/>
    </xf>
    <xf numFmtId="0" fontId="26" fillId="25" borderId="17" xfId="0" applyFont="1" applyFill="1" applyBorder="1" applyAlignment="1">
      <alignment horizontal="center" vertical="center"/>
    </xf>
    <xf numFmtId="0" fontId="0" fillId="0" borderId="13" xfId="42" applyFont="1" applyBorder="1" applyAlignment="1">
      <alignment horizontal="left" vertical="center" shrinkToFit="1"/>
    </xf>
    <xf numFmtId="0" fontId="22" fillId="0" borderId="14" xfId="42" applyFont="1" applyBorder="1" applyAlignment="1">
      <alignment horizontal="left" vertical="center" shrinkToFit="1"/>
    </xf>
    <xf numFmtId="0" fontId="0" fillId="0" borderId="13" xfId="42" applyFont="1" applyBorder="1" applyAlignment="1">
      <alignment horizontal="left" vertical="center" wrapText="1"/>
    </xf>
    <xf numFmtId="0" fontId="26" fillId="25" borderId="12" xfId="42" applyFont="1" applyFill="1" applyBorder="1" applyAlignment="1">
      <alignment horizontal="center" vertical="center"/>
    </xf>
    <xf numFmtId="0" fontId="26" fillId="25" borderId="16" xfId="42" applyFont="1" applyFill="1" applyBorder="1" applyAlignment="1">
      <alignment horizontal="center" vertical="center"/>
    </xf>
    <xf numFmtId="0" fontId="24" fillId="25" borderId="13" xfId="0" applyFont="1" applyFill="1" applyBorder="1" applyAlignment="1">
      <alignment horizontal="center" vertical="center"/>
    </xf>
    <xf numFmtId="0" fontId="24" fillId="25" borderId="15" xfId="0" applyFont="1" applyFill="1" applyBorder="1" applyAlignment="1">
      <alignment horizontal="center" vertical="center"/>
    </xf>
    <xf numFmtId="0" fontId="24" fillId="25" borderId="14" xfId="0" applyFont="1" applyFill="1" applyBorder="1" applyAlignment="1">
      <alignment horizontal="center" vertical="center"/>
    </xf>
    <xf numFmtId="0" fontId="0" fillId="0" borderId="10" xfId="42" applyFont="1" applyBorder="1" applyAlignment="1">
      <alignment horizontal="left" vertical="center" wrapText="1"/>
    </xf>
    <xf numFmtId="0" fontId="22" fillId="0" borderId="10" xfId="42" applyFont="1" applyBorder="1" applyAlignment="1">
      <alignment horizontal="left" vertical="center"/>
    </xf>
    <xf numFmtId="0" fontId="0" fillId="0" borderId="13" xfId="42" applyFont="1" applyBorder="1" applyAlignment="1">
      <alignment horizontal="center" vertical="center"/>
    </xf>
    <xf numFmtId="0" fontId="22" fillId="0" borderId="15" xfId="42" applyFont="1" applyBorder="1" applyAlignment="1">
      <alignment horizontal="center" vertical="center"/>
    </xf>
    <xf numFmtId="0" fontId="22" fillId="0" borderId="14" xfId="42" applyFont="1" applyBorder="1" applyAlignment="1">
      <alignment horizontal="center" vertical="center"/>
    </xf>
    <xf numFmtId="0" fontId="22" fillId="0" borderId="13" xfId="0" applyFont="1" applyBorder="1" applyAlignment="1">
      <alignment horizontal="left" vertical="top" shrinkToFit="1"/>
    </xf>
    <xf numFmtId="0" fontId="22" fillId="0" borderId="10" xfId="42" applyFont="1" applyBorder="1" applyAlignment="1">
      <alignment horizontal="left" vertical="center" wrapText="1"/>
    </xf>
  </cellXfs>
  <cellStyles count="44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강조색1" xfId="19" builtinId="29" customBuiltin="1"/>
    <cellStyle name="강조색2" xfId="20" builtinId="33" customBuiltin="1"/>
    <cellStyle name="강조색3" xfId="21" builtinId="37" customBuiltin="1"/>
    <cellStyle name="강조색4" xfId="22" builtinId="41" customBuiltin="1"/>
    <cellStyle name="강조색5" xfId="23" builtinId="45" customBuiltin="1"/>
    <cellStyle name="강조색6" xfId="24" builtinId="49" customBuiltin="1"/>
    <cellStyle name="경고문" xfId="25" builtinId="11" customBuiltin="1"/>
    <cellStyle name="계산" xfId="26" builtinId="22" customBuiltin="1"/>
    <cellStyle name="나쁨" xfId="27" builtinId="27" customBuiltin="1"/>
    <cellStyle name="메모" xfId="28" builtinId="10" customBuiltin="1"/>
    <cellStyle name="보통" xfId="29" builtinId="28" customBuiltin="1"/>
    <cellStyle name="설명 텍스트" xfId="30" builtinId="53" customBuiltin="1"/>
    <cellStyle name="셀 확인" xfId="31" builtinId="23" customBuiltin="1"/>
    <cellStyle name="연결된 셀" xfId="32" builtinId="24" customBuiltin="1"/>
    <cellStyle name="요약" xfId="33" builtinId="25" customBuiltin="1"/>
    <cellStyle name="입력" xfId="34" builtinId="20" customBuiltin="1"/>
    <cellStyle name="제목" xfId="35" builtinId="15" customBuiltin="1"/>
    <cellStyle name="제목 1" xfId="36" builtinId="16" customBuiltin="1"/>
    <cellStyle name="제목 2" xfId="37" builtinId="17" customBuiltin="1"/>
    <cellStyle name="제목 3" xfId="38" builtinId="18" customBuiltin="1"/>
    <cellStyle name="제목 4" xfId="39" builtinId="19" customBuiltin="1"/>
    <cellStyle name="좋음" xfId="40" builtinId="26" customBuiltin="1"/>
    <cellStyle name="출력" xfId="41" builtinId="21" customBuiltin="1"/>
    <cellStyle name="표준" xfId="0" builtinId="0"/>
    <cellStyle name="표준_FAS_Sales_otty_list(2009)" xfId="42" xr:uid="{00000000-0005-0000-0000-00002B000000}"/>
    <cellStyle name="표준_FAS_산정기초자료" xfId="43" xr:uid="{00000000-0005-0000-0000-00002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prstShdw prst="shdw17" dist="17961" dir="2700000">
            <a:srgbClr val="000000">
              <a:gamma/>
              <a:shade val="60000"/>
              <a:invGamma/>
            </a:srgbClr>
          </a:prst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prstShdw prst="shdw17" dist="17961" dir="2700000">
            <a:srgbClr val="000000">
              <a:gamma/>
              <a:shade val="60000"/>
              <a:invGamma/>
            </a:srgbClr>
          </a:prst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6">
    <pageSetUpPr fitToPage="1"/>
  </sheetPr>
  <dimension ref="A1:I61"/>
  <sheetViews>
    <sheetView showGridLines="0" tabSelected="1" zoomScaleNormal="80" zoomScaleSheetLayoutView="100" workbookViewId="0">
      <selection activeCell="B6" sqref="B6:F6"/>
    </sheetView>
  </sheetViews>
  <sheetFormatPr defaultColWidth="11.5" defaultRowHeight="15" x14ac:dyDescent="0.65"/>
  <cols>
    <col min="1" max="6" width="18.6640625" style="2" customWidth="1"/>
    <col min="7" max="16384" width="11.5" style="2"/>
  </cols>
  <sheetData>
    <row r="1" spans="1:9" ht="20.100000000000001" x14ac:dyDescent="0.65">
      <c r="A1" s="1" t="s">
        <v>24</v>
      </c>
      <c r="G1" s="24"/>
    </row>
    <row r="2" spans="1:9" x14ac:dyDescent="0.65">
      <c r="G2" s="24"/>
    </row>
    <row r="3" spans="1:9" ht="18" customHeight="1" x14ac:dyDescent="0.65">
      <c r="A3" s="25" t="s">
        <v>0</v>
      </c>
      <c r="B3" s="58" t="s">
        <v>71</v>
      </c>
      <c r="C3" s="59"/>
      <c r="D3" s="59"/>
      <c r="E3" s="59"/>
      <c r="F3" s="60"/>
      <c r="G3" s="24"/>
      <c r="I3"/>
    </row>
    <row r="4" spans="1:9" ht="18" customHeight="1" x14ac:dyDescent="0.65">
      <c r="A4" s="26" t="s">
        <v>21</v>
      </c>
      <c r="B4" s="42" t="s">
        <v>72</v>
      </c>
      <c r="C4" s="43"/>
      <c r="D4" s="43"/>
      <c r="E4" s="43"/>
      <c r="F4" s="44"/>
      <c r="G4" s="24"/>
      <c r="I4"/>
    </row>
    <row r="5" spans="1:9" ht="18" customHeight="1" x14ac:dyDescent="0.65">
      <c r="A5" s="26" t="s">
        <v>60</v>
      </c>
      <c r="B5" s="19">
        <v>44927</v>
      </c>
      <c r="C5" s="25" t="s">
        <v>61</v>
      </c>
      <c r="D5" s="20">
        <v>45107</v>
      </c>
      <c r="E5" s="26" t="s">
        <v>62</v>
      </c>
      <c r="F5" s="18">
        <f>DATEDIF(B5,D5,"m")</f>
        <v>5</v>
      </c>
      <c r="G5" s="24"/>
      <c r="I5"/>
    </row>
    <row r="6" spans="1:9" ht="67.5" customHeight="1" x14ac:dyDescent="0.65">
      <c r="A6" s="26" t="s">
        <v>8</v>
      </c>
      <c r="B6" s="50"/>
      <c r="C6" s="43"/>
      <c r="D6" s="43"/>
      <c r="E6" s="43"/>
      <c r="F6" s="44"/>
      <c r="I6"/>
    </row>
    <row r="7" spans="1:9" ht="18" customHeight="1" x14ac:dyDescent="0.65">
      <c r="A7" s="26" t="s">
        <v>2</v>
      </c>
      <c r="B7" s="48"/>
      <c r="C7" s="49"/>
      <c r="D7" s="26" t="s">
        <v>1</v>
      </c>
      <c r="E7" s="48"/>
      <c r="F7" s="49"/>
      <c r="I7"/>
    </row>
    <row r="8" spans="1:9" ht="18" customHeight="1" x14ac:dyDescent="0.65">
      <c r="A8" s="51" t="s">
        <v>3</v>
      </c>
      <c r="B8" s="27"/>
      <c r="C8" s="29" t="s">
        <v>4</v>
      </c>
      <c r="D8" s="29" t="s">
        <v>5</v>
      </c>
      <c r="E8" s="29" t="s">
        <v>6</v>
      </c>
      <c r="F8" s="29" t="s">
        <v>7</v>
      </c>
      <c r="I8"/>
    </row>
    <row r="9" spans="1:9" ht="18" customHeight="1" x14ac:dyDescent="0.65">
      <c r="A9" s="52"/>
      <c r="B9" s="28" t="s">
        <v>80</v>
      </c>
      <c r="C9" s="21" t="s">
        <v>73</v>
      </c>
      <c r="D9" s="21" t="s">
        <v>74</v>
      </c>
      <c r="E9" s="6"/>
      <c r="F9" s="6"/>
      <c r="I9"/>
    </row>
    <row r="10" spans="1:9" ht="18" customHeight="1" x14ac:dyDescent="0.65">
      <c r="A10" s="52"/>
      <c r="B10" s="29" t="s">
        <v>39</v>
      </c>
      <c r="C10" s="21" t="s">
        <v>75</v>
      </c>
      <c r="D10" s="21" t="s">
        <v>76</v>
      </c>
      <c r="E10" s="6"/>
      <c r="F10" s="6"/>
      <c r="I10"/>
    </row>
    <row r="11" spans="1:9" ht="18" customHeight="1" x14ac:dyDescent="0.65">
      <c r="A11" s="52"/>
      <c r="B11" s="29" t="s">
        <v>40</v>
      </c>
      <c r="C11" s="21" t="s">
        <v>77</v>
      </c>
      <c r="D11" s="21" t="s">
        <v>78</v>
      </c>
      <c r="E11" s="6"/>
      <c r="F11" s="6"/>
      <c r="I11"/>
    </row>
    <row r="12" spans="1:9" s="3" customFormat="1" ht="18" customHeight="1" x14ac:dyDescent="0.65">
      <c r="A12" s="45" t="s">
        <v>9</v>
      </c>
      <c r="B12" s="30" t="s">
        <v>10</v>
      </c>
      <c r="C12" s="31" t="s">
        <v>11</v>
      </c>
      <c r="D12" s="53" t="s">
        <v>81</v>
      </c>
      <c r="E12" s="54"/>
      <c r="F12" s="55"/>
      <c r="I12"/>
    </row>
    <row r="13" spans="1:9" s="3" customFormat="1" ht="18" customHeight="1" x14ac:dyDescent="0.65">
      <c r="A13" s="46"/>
      <c r="B13" s="22"/>
      <c r="C13" s="5"/>
      <c r="D13" s="37"/>
      <c r="E13" s="38"/>
      <c r="F13" s="39"/>
    </row>
    <row r="14" spans="1:9" s="3" customFormat="1" ht="18" customHeight="1" x14ac:dyDescent="0.65">
      <c r="A14" s="46"/>
      <c r="B14" s="22"/>
      <c r="C14" s="5"/>
      <c r="D14" s="40"/>
      <c r="E14" s="38"/>
      <c r="F14" s="39"/>
    </row>
    <row r="15" spans="1:9" s="3" customFormat="1" ht="18" customHeight="1" x14ac:dyDescent="0.65">
      <c r="A15" s="46"/>
      <c r="B15" s="22"/>
      <c r="C15" s="5"/>
      <c r="D15" s="40"/>
      <c r="E15" s="38"/>
      <c r="F15" s="39"/>
    </row>
    <row r="16" spans="1:9" s="3" customFormat="1" ht="18" customHeight="1" x14ac:dyDescent="0.65">
      <c r="A16" s="47"/>
      <c r="B16" s="22"/>
      <c r="C16" s="5"/>
      <c r="D16" s="40"/>
      <c r="E16" s="38"/>
      <c r="F16" s="39"/>
    </row>
    <row r="18" spans="1:9" ht="20.100000000000001" x14ac:dyDescent="0.65">
      <c r="A18" s="1" t="s">
        <v>63</v>
      </c>
    </row>
    <row r="20" spans="1:9" ht="60" customHeight="1" x14ac:dyDescent="0.65">
      <c r="A20" s="32" t="s">
        <v>51</v>
      </c>
      <c r="B20" s="56"/>
      <c r="C20" s="57"/>
      <c r="D20" s="57"/>
      <c r="E20" s="57"/>
      <c r="F20" s="57"/>
    </row>
    <row r="21" spans="1:9" ht="60" customHeight="1" x14ac:dyDescent="0.65">
      <c r="A21" s="32" t="s">
        <v>50</v>
      </c>
      <c r="B21" s="56"/>
      <c r="C21" s="57"/>
      <c r="D21" s="57"/>
      <c r="E21" s="57"/>
      <c r="F21" s="57"/>
    </row>
    <row r="22" spans="1:9" s="3" customFormat="1" ht="18" customHeight="1" x14ac:dyDescent="0.65">
      <c r="A22" s="45" t="s">
        <v>20</v>
      </c>
      <c r="B22" s="33" t="s">
        <v>15</v>
      </c>
      <c r="C22" s="31" t="s">
        <v>16</v>
      </c>
      <c r="D22" s="30" t="s">
        <v>17</v>
      </c>
      <c r="E22" s="30" t="s">
        <v>18</v>
      </c>
      <c r="F22" s="30" t="s">
        <v>82</v>
      </c>
      <c r="I22"/>
    </row>
    <row r="23" spans="1:9" s="3" customFormat="1" ht="18" customHeight="1" x14ac:dyDescent="0.65">
      <c r="A23" s="46"/>
      <c r="B23" s="23"/>
      <c r="C23" s="23"/>
      <c r="D23" s="4"/>
      <c r="E23" s="4"/>
      <c r="F23" s="4"/>
    </row>
    <row r="24" spans="1:9" s="3" customFormat="1" ht="18" customHeight="1" x14ac:dyDescent="0.65">
      <c r="A24" s="46"/>
      <c r="B24" s="23"/>
      <c r="C24" s="23"/>
      <c r="D24" s="4"/>
      <c r="E24" s="4"/>
      <c r="F24" s="4"/>
    </row>
    <row r="25" spans="1:9" s="3" customFormat="1" ht="18" customHeight="1" x14ac:dyDescent="0.65">
      <c r="A25" s="46"/>
      <c r="B25" s="23"/>
      <c r="C25" s="23"/>
      <c r="D25" s="4"/>
      <c r="E25" s="4"/>
      <c r="F25" s="4"/>
    </row>
    <row r="26" spans="1:9" s="3" customFormat="1" ht="18" customHeight="1" x14ac:dyDescent="0.65">
      <c r="A26" s="47"/>
      <c r="B26" s="23"/>
      <c r="C26" s="23"/>
      <c r="D26" s="4"/>
      <c r="E26" s="4"/>
      <c r="F26" s="4"/>
    </row>
    <row r="27" spans="1:9" s="3" customFormat="1" ht="18" customHeight="1" x14ac:dyDescent="0.65">
      <c r="A27" s="45" t="s">
        <v>26</v>
      </c>
      <c r="B27" s="30" t="s">
        <v>27</v>
      </c>
      <c r="C27" s="53" t="s">
        <v>28</v>
      </c>
      <c r="D27" s="54"/>
      <c r="E27" s="54"/>
      <c r="F27" s="55"/>
      <c r="I27"/>
    </row>
    <row r="28" spans="1:9" s="3" customFormat="1" ht="18" customHeight="1" x14ac:dyDescent="0.65">
      <c r="A28" s="46"/>
      <c r="B28" s="5"/>
      <c r="C28" s="40"/>
      <c r="D28" s="38"/>
      <c r="E28" s="38"/>
      <c r="F28" s="39"/>
    </row>
    <row r="29" spans="1:9" s="3" customFormat="1" ht="18" customHeight="1" x14ac:dyDescent="0.65">
      <c r="A29" s="46"/>
      <c r="B29" s="5"/>
      <c r="C29" s="61"/>
      <c r="D29" s="38"/>
      <c r="E29" s="38"/>
      <c r="F29" s="39"/>
    </row>
    <row r="30" spans="1:9" s="3" customFormat="1" ht="18" customHeight="1" x14ac:dyDescent="0.65">
      <c r="A30" s="47"/>
      <c r="B30" s="5"/>
      <c r="C30" s="61"/>
      <c r="D30" s="38"/>
      <c r="E30" s="38"/>
      <c r="F30" s="39"/>
    </row>
    <row r="31" spans="1:9" ht="60" customHeight="1" x14ac:dyDescent="0.65">
      <c r="A31" s="26" t="s">
        <v>41</v>
      </c>
      <c r="B31" s="62"/>
      <c r="C31" s="57"/>
      <c r="D31" s="57"/>
      <c r="E31" s="57"/>
      <c r="F31" s="57"/>
    </row>
    <row r="32" spans="1:9" s="3" customFormat="1" ht="18" customHeight="1" x14ac:dyDescent="0.65">
      <c r="A32" s="45" t="s">
        <v>22</v>
      </c>
      <c r="B32" s="30" t="s">
        <v>27</v>
      </c>
      <c r="C32" s="53" t="s">
        <v>28</v>
      </c>
      <c r="D32" s="54"/>
      <c r="E32" s="54"/>
      <c r="F32" s="55"/>
      <c r="I32"/>
    </row>
    <row r="33" spans="1:9" s="3" customFormat="1" x14ac:dyDescent="0.65">
      <c r="A33" s="46"/>
      <c r="B33" s="5" t="s">
        <v>65</v>
      </c>
      <c r="C33" s="40"/>
      <c r="D33" s="38"/>
      <c r="E33" s="38"/>
      <c r="F33" s="39"/>
    </row>
    <row r="34" spans="1:9" s="3" customFormat="1" x14ac:dyDescent="0.65">
      <c r="A34" s="46"/>
      <c r="B34" s="5" t="s">
        <v>65</v>
      </c>
      <c r="C34" s="37"/>
      <c r="D34" s="38"/>
      <c r="E34" s="38"/>
      <c r="F34" s="39"/>
    </row>
    <row r="35" spans="1:9" s="3" customFormat="1" x14ac:dyDescent="0.65">
      <c r="A35" s="46"/>
      <c r="B35" s="5" t="s">
        <v>69</v>
      </c>
      <c r="C35" s="37"/>
      <c r="D35" s="38"/>
      <c r="E35" s="38"/>
      <c r="F35" s="39"/>
    </row>
    <row r="36" spans="1:9" s="3" customFormat="1" x14ac:dyDescent="0.65">
      <c r="A36" s="46"/>
      <c r="B36" s="5" t="s">
        <v>66</v>
      </c>
      <c r="C36" s="37"/>
      <c r="D36" s="38"/>
      <c r="E36" s="38"/>
      <c r="F36" s="39"/>
    </row>
    <row r="37" spans="1:9" s="3" customFormat="1" x14ac:dyDescent="0.65">
      <c r="A37" s="46"/>
      <c r="B37" s="5" t="s">
        <v>65</v>
      </c>
      <c r="C37" s="37"/>
      <c r="D37" s="38"/>
      <c r="E37" s="38"/>
      <c r="F37" s="39"/>
    </row>
    <row r="38" spans="1:9" s="3" customFormat="1" x14ac:dyDescent="0.65">
      <c r="A38" s="46"/>
      <c r="B38" s="5" t="s">
        <v>67</v>
      </c>
      <c r="C38" s="37"/>
      <c r="D38" s="38"/>
      <c r="E38" s="38"/>
      <c r="F38" s="39"/>
    </row>
    <row r="39" spans="1:9" s="3" customFormat="1" x14ac:dyDescent="0.65">
      <c r="A39" s="46"/>
      <c r="B39" s="5" t="s">
        <v>66</v>
      </c>
      <c r="C39" s="37"/>
      <c r="D39" s="38"/>
      <c r="E39" s="38"/>
      <c r="F39" s="39"/>
    </row>
    <row r="40" spans="1:9" s="3" customFormat="1" x14ac:dyDescent="0.65">
      <c r="A40" s="46"/>
      <c r="B40" s="22" t="s">
        <v>70</v>
      </c>
      <c r="C40" s="37"/>
      <c r="D40" s="38"/>
      <c r="E40" s="38"/>
      <c r="F40" s="39"/>
    </row>
    <row r="41" spans="1:9" s="3" customFormat="1" x14ac:dyDescent="0.65">
      <c r="A41" s="46"/>
      <c r="B41" s="5" t="s">
        <v>67</v>
      </c>
      <c r="C41" s="37"/>
      <c r="D41" s="38"/>
      <c r="E41" s="38"/>
      <c r="F41" s="39"/>
    </row>
    <row r="42" spans="1:9" s="3" customFormat="1" x14ac:dyDescent="0.65">
      <c r="A42" s="46"/>
      <c r="B42" s="5" t="s">
        <v>67</v>
      </c>
      <c r="C42" s="37"/>
      <c r="D42" s="38"/>
      <c r="E42" s="38"/>
      <c r="F42" s="39"/>
    </row>
    <row r="43" spans="1:9" s="3" customFormat="1" x14ac:dyDescent="0.65">
      <c r="A43" s="47"/>
      <c r="B43" s="22" t="s">
        <v>68</v>
      </c>
      <c r="C43" s="37"/>
      <c r="D43" s="38"/>
      <c r="E43" s="38"/>
      <c r="F43" s="39"/>
    </row>
    <row r="44" spans="1:9" ht="60" customHeight="1" x14ac:dyDescent="0.65">
      <c r="A44" s="32" t="s">
        <v>42</v>
      </c>
      <c r="B44" s="56"/>
      <c r="C44" s="57"/>
      <c r="D44" s="57"/>
      <c r="E44" s="57"/>
      <c r="F44" s="57"/>
    </row>
    <row r="46" spans="1:9" ht="20.100000000000001" x14ac:dyDescent="0.65">
      <c r="A46" s="1" t="s">
        <v>25</v>
      </c>
    </row>
    <row r="48" spans="1:9" ht="18" customHeight="1" x14ac:dyDescent="0.65">
      <c r="A48" s="34" t="s">
        <v>19</v>
      </c>
      <c r="B48" s="35"/>
      <c r="C48" s="28" t="s">
        <v>12</v>
      </c>
      <c r="D48" s="29" t="s">
        <v>79</v>
      </c>
      <c r="E48" s="29" t="s">
        <v>13</v>
      </c>
      <c r="F48" s="29" t="s">
        <v>83</v>
      </c>
      <c r="I48"/>
    </row>
    <row r="49" spans="1:9" ht="18" customHeight="1" x14ac:dyDescent="0.65">
      <c r="A49" s="26" t="s">
        <v>14</v>
      </c>
      <c r="B49" s="36" t="s">
        <v>29</v>
      </c>
      <c r="C49" s="7"/>
      <c r="D49" s="7"/>
      <c r="E49" s="10">
        <f t="shared" ref="E49:E54" si="0">C49-D49</f>
        <v>0</v>
      </c>
      <c r="F49" s="11">
        <f t="shared" ref="F49:F61" si="1">IF(C49&gt;0,1+E49/C49,0)</f>
        <v>0</v>
      </c>
      <c r="I49"/>
    </row>
    <row r="50" spans="1:9" ht="18" customHeight="1" x14ac:dyDescent="0.65">
      <c r="A50" s="41" t="s">
        <v>30</v>
      </c>
      <c r="B50" s="36" t="s">
        <v>31</v>
      </c>
      <c r="C50" s="8"/>
      <c r="D50" s="8"/>
      <c r="E50" s="12">
        <f t="shared" si="0"/>
        <v>0</v>
      </c>
      <c r="F50" s="11">
        <f t="shared" si="1"/>
        <v>0</v>
      </c>
      <c r="I50"/>
    </row>
    <row r="51" spans="1:9" ht="18" customHeight="1" x14ac:dyDescent="0.65">
      <c r="A51" s="41"/>
      <c r="B51" s="36" t="s">
        <v>32</v>
      </c>
      <c r="C51" s="9"/>
      <c r="D51" s="9"/>
      <c r="E51" s="13">
        <f t="shared" si="0"/>
        <v>0</v>
      </c>
      <c r="F51" s="11">
        <f t="shared" si="1"/>
        <v>0</v>
      </c>
      <c r="I51"/>
    </row>
    <row r="52" spans="1:9" ht="18" customHeight="1" x14ac:dyDescent="0.65">
      <c r="A52" s="41"/>
      <c r="B52" s="36" t="s">
        <v>33</v>
      </c>
      <c r="C52" s="9"/>
      <c r="D52" s="9"/>
      <c r="E52" s="13">
        <f t="shared" si="0"/>
        <v>0</v>
      </c>
      <c r="F52" s="11">
        <f t="shared" si="1"/>
        <v>0</v>
      </c>
      <c r="I52"/>
    </row>
    <row r="53" spans="1:9" ht="18" customHeight="1" x14ac:dyDescent="0.65">
      <c r="A53" s="41"/>
      <c r="B53" s="36" t="s">
        <v>34</v>
      </c>
      <c r="C53" s="9"/>
      <c r="D53" s="9"/>
      <c r="E53" s="13">
        <f t="shared" si="0"/>
        <v>0</v>
      </c>
      <c r="F53" s="11">
        <f t="shared" si="1"/>
        <v>0</v>
      </c>
      <c r="I53"/>
    </row>
    <row r="54" spans="1:9" ht="18" customHeight="1" x14ac:dyDescent="0.65">
      <c r="A54" s="41"/>
      <c r="B54" s="36" t="s">
        <v>35</v>
      </c>
      <c r="C54" s="15">
        <f>SUM(C51:C53)</f>
        <v>0</v>
      </c>
      <c r="D54" s="15">
        <f>SUM(D51:D53)</f>
        <v>0</v>
      </c>
      <c r="E54" s="13">
        <f t="shared" si="0"/>
        <v>0</v>
      </c>
      <c r="F54" s="11">
        <f t="shared" si="1"/>
        <v>0</v>
      </c>
      <c r="I54"/>
    </row>
    <row r="55" spans="1:9" ht="18" customHeight="1" x14ac:dyDescent="0.65">
      <c r="A55" s="41" t="s">
        <v>36</v>
      </c>
      <c r="B55" s="36" t="s">
        <v>31</v>
      </c>
      <c r="C55" s="7"/>
      <c r="D55" s="7"/>
      <c r="E55" s="12">
        <f t="shared" ref="E55:E61" si="2">D55-C55</f>
        <v>0</v>
      </c>
      <c r="F55" s="11">
        <f t="shared" si="1"/>
        <v>0</v>
      </c>
      <c r="I55"/>
    </row>
    <row r="56" spans="1:9" ht="18" customHeight="1" x14ac:dyDescent="0.65">
      <c r="A56" s="41"/>
      <c r="B56" s="36" t="s">
        <v>32</v>
      </c>
      <c r="C56" s="9"/>
      <c r="D56" s="9"/>
      <c r="E56" s="13">
        <f t="shared" si="2"/>
        <v>0</v>
      </c>
      <c r="F56" s="11">
        <f t="shared" si="1"/>
        <v>0</v>
      </c>
      <c r="I56"/>
    </row>
    <row r="57" spans="1:9" ht="18" customHeight="1" x14ac:dyDescent="0.65">
      <c r="A57" s="41"/>
      <c r="B57" s="36" t="s">
        <v>33</v>
      </c>
      <c r="C57" s="9"/>
      <c r="D57" s="9"/>
      <c r="E57" s="13">
        <f t="shared" si="2"/>
        <v>0</v>
      </c>
      <c r="F57" s="11">
        <f t="shared" si="1"/>
        <v>0</v>
      </c>
      <c r="I57"/>
    </row>
    <row r="58" spans="1:9" ht="18" customHeight="1" x14ac:dyDescent="0.65">
      <c r="A58" s="41"/>
      <c r="B58" s="36" t="s">
        <v>34</v>
      </c>
      <c r="C58" s="9"/>
      <c r="D58" s="9"/>
      <c r="E58" s="13">
        <f t="shared" si="2"/>
        <v>0</v>
      </c>
      <c r="F58" s="11">
        <f t="shared" si="1"/>
        <v>0</v>
      </c>
      <c r="I58"/>
    </row>
    <row r="59" spans="1:9" ht="18" customHeight="1" x14ac:dyDescent="0.65">
      <c r="A59" s="41"/>
      <c r="B59" s="36" t="s">
        <v>35</v>
      </c>
      <c r="C59" s="15">
        <f>SUM(C56:C58)</f>
        <v>0</v>
      </c>
      <c r="D59" s="15">
        <f>SUM(D56:D58)</f>
        <v>0</v>
      </c>
      <c r="E59" s="13">
        <f t="shared" si="2"/>
        <v>0</v>
      </c>
      <c r="F59" s="11">
        <f t="shared" si="1"/>
        <v>0</v>
      </c>
      <c r="I59"/>
    </row>
    <row r="60" spans="1:9" ht="18" customHeight="1" x14ac:dyDescent="0.65">
      <c r="A60" s="41" t="s">
        <v>37</v>
      </c>
      <c r="B60" s="36" t="s">
        <v>38</v>
      </c>
      <c r="C60" s="15">
        <f>C59-C54</f>
        <v>0</v>
      </c>
      <c r="D60" s="15">
        <f>D59-D54</f>
        <v>0</v>
      </c>
      <c r="E60" s="13">
        <f t="shared" si="2"/>
        <v>0</v>
      </c>
      <c r="F60" s="11">
        <f t="shared" si="1"/>
        <v>0</v>
      </c>
      <c r="I60"/>
    </row>
    <row r="61" spans="1:9" ht="18" customHeight="1" x14ac:dyDescent="0.65">
      <c r="A61" s="41"/>
      <c r="B61" s="36" t="s">
        <v>23</v>
      </c>
      <c r="C61" s="11">
        <f>IF(C54&gt;0, C60/C54,0)</f>
        <v>0</v>
      </c>
      <c r="D61" s="11">
        <f>IF(D54&gt;0, D60/D54,0)</f>
        <v>0</v>
      </c>
      <c r="E61" s="14">
        <f t="shared" si="2"/>
        <v>0</v>
      </c>
      <c r="F61" s="11">
        <f t="shared" si="1"/>
        <v>0</v>
      </c>
      <c r="I61"/>
    </row>
  </sheetData>
  <mergeCells count="38">
    <mergeCell ref="C29:F29"/>
    <mergeCell ref="C30:F30"/>
    <mergeCell ref="B44:F44"/>
    <mergeCell ref="B31:F31"/>
    <mergeCell ref="A32:A43"/>
    <mergeCell ref="C33:F33"/>
    <mergeCell ref="C39:F39"/>
    <mergeCell ref="C43:F43"/>
    <mergeCell ref="B3:F3"/>
    <mergeCell ref="D16:F16"/>
    <mergeCell ref="C27:F27"/>
    <mergeCell ref="D13:F13"/>
    <mergeCell ref="D15:F15"/>
    <mergeCell ref="B21:F21"/>
    <mergeCell ref="D14:F14"/>
    <mergeCell ref="A60:A61"/>
    <mergeCell ref="B4:F4"/>
    <mergeCell ref="A12:A16"/>
    <mergeCell ref="E7:F7"/>
    <mergeCell ref="B7:C7"/>
    <mergeCell ref="B6:F6"/>
    <mergeCell ref="A8:A11"/>
    <mergeCell ref="D12:F12"/>
    <mergeCell ref="C32:F32"/>
    <mergeCell ref="A27:A30"/>
    <mergeCell ref="A50:A54"/>
    <mergeCell ref="A55:A59"/>
    <mergeCell ref="B20:F20"/>
    <mergeCell ref="A22:A26"/>
    <mergeCell ref="C28:F28"/>
    <mergeCell ref="C42:F42"/>
    <mergeCell ref="C35:F35"/>
    <mergeCell ref="C36:F36"/>
    <mergeCell ref="C34:F34"/>
    <mergeCell ref="C37:F37"/>
    <mergeCell ref="C38:F38"/>
    <mergeCell ref="C41:F41"/>
    <mergeCell ref="C40:F40"/>
  </mergeCells>
  <phoneticPr fontId="20" type="noConversion"/>
  <dataValidations count="4">
    <dataValidation type="list" allowBlank="1" showInputMessage="1" showErrorMessage="1" sqref="B33:B43" xr:uid="{00000000-0002-0000-0000-000000000000}">
      <formula1>"인원투입,기술도입/적용,관련정책/시장변화,요구사항변경,작업범위산정,개발/운영환경,고객사협조/지원,기타"</formula1>
    </dataValidation>
    <dataValidation type="list" allowBlank="1" showInputMessage="1" showErrorMessage="1" sqref="B28:B30" xr:uid="{00000000-0002-0000-0000-000001000000}">
      <formula1>"분석서,설계서,컨설팅자료,매뉴얼,프로젝트진행문서,품질관련자료,소스,바이너리,기타"</formula1>
    </dataValidation>
    <dataValidation type="list" allowBlank="1" showInputMessage="1" showErrorMessage="1" sqref="D23:D26" xr:uid="{00000000-0002-0000-0000-000002000000}">
      <formula1>"특급,고급,중급,초급"</formula1>
    </dataValidation>
    <dataValidation type="list" allowBlank="1" showInputMessage="1" showErrorMessage="1" sqref="C13:C16" xr:uid="{00000000-0002-0000-0000-000003000000}">
      <formula1>"SIer,솔루션제공,용역제공,H/W 및 S/W"</formula1>
    </dataValidation>
  </dataValidations>
  <pageMargins left="0.59055118110236227" right="0.39370078740157483" top="0.59055118110236227" bottom="0.78740157480314965" header="0.39370078740157483" footer="0.39370078740157483"/>
  <pageSetup paperSize="9" scale="83" fitToHeight="0" orientation="portrait" r:id="rId1"/>
  <headerFooter alignWithMargins="0"/>
  <ignoredErrors>
    <ignoredError sqref="C54:D54 C59:D59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pageSetUpPr fitToPage="1"/>
  </sheetPr>
  <dimension ref="A1:A28"/>
  <sheetViews>
    <sheetView showGridLines="0" zoomScale="120" zoomScaleNormal="120" workbookViewId="0">
      <selection activeCell="B4" sqref="B4"/>
    </sheetView>
  </sheetViews>
  <sheetFormatPr defaultColWidth="11.5" defaultRowHeight="15" x14ac:dyDescent="0.65"/>
  <cols>
    <col min="1" max="16384" width="11.5" style="17"/>
  </cols>
  <sheetData>
    <row r="1" spans="1:1" x14ac:dyDescent="0.65">
      <c r="A1" s="16" t="s">
        <v>43</v>
      </c>
    </row>
    <row r="3" spans="1:1" x14ac:dyDescent="0.65">
      <c r="A3" s="17" t="s">
        <v>52</v>
      </c>
    </row>
    <row r="4" spans="1:1" x14ac:dyDescent="0.65">
      <c r="A4" s="17" t="s">
        <v>48</v>
      </c>
    </row>
    <row r="6" spans="1:1" x14ac:dyDescent="0.65">
      <c r="A6" s="17" t="s">
        <v>49</v>
      </c>
    </row>
    <row r="8" spans="1:1" x14ac:dyDescent="0.65">
      <c r="A8" s="17" t="s">
        <v>44</v>
      </c>
    </row>
    <row r="9" spans="1:1" x14ac:dyDescent="0.65">
      <c r="A9" s="17" t="s">
        <v>45</v>
      </c>
    </row>
    <row r="12" spans="1:1" x14ac:dyDescent="0.65">
      <c r="A12" s="16" t="s">
        <v>46</v>
      </c>
    </row>
    <row r="14" spans="1:1" x14ac:dyDescent="0.65">
      <c r="A14" s="17" t="s">
        <v>53</v>
      </c>
    </row>
    <row r="15" spans="1:1" x14ac:dyDescent="0.65">
      <c r="A15" s="17" t="s">
        <v>54</v>
      </c>
    </row>
    <row r="16" spans="1:1" x14ac:dyDescent="0.65">
      <c r="A16" s="17" t="s">
        <v>55</v>
      </c>
    </row>
    <row r="19" spans="1:1" x14ac:dyDescent="0.65">
      <c r="A19" s="16" t="s">
        <v>64</v>
      </c>
    </row>
    <row r="21" spans="1:1" x14ac:dyDescent="0.65">
      <c r="A21" s="17" t="s">
        <v>56</v>
      </c>
    </row>
    <row r="22" spans="1:1" x14ac:dyDescent="0.65">
      <c r="A22" s="17" t="s">
        <v>57</v>
      </c>
    </row>
    <row r="25" spans="1:1" x14ac:dyDescent="0.65">
      <c r="A25" s="16" t="s">
        <v>47</v>
      </c>
    </row>
    <row r="27" spans="1:1" x14ac:dyDescent="0.65">
      <c r="A27" s="17" t="s">
        <v>58</v>
      </c>
    </row>
    <row r="28" spans="1:1" x14ac:dyDescent="0.65">
      <c r="A28" s="17" t="s">
        <v>59</v>
      </c>
    </row>
  </sheetData>
  <phoneticPr fontId="20" type="noConversion"/>
  <pageMargins left="0.59055118110236227" right="0.39370078740157483" top="0.59055118110236227" bottom="0.78740157480314965" header="0.39370078740157483" footer="0.39370078740157483"/>
  <pageSetup paperSize="9" scale="92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프로젝트 평가서</vt:lpstr>
      <vt:lpstr>작성요령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2023-06-20T12:51:42Z</dcterms:created>
  <dcterms:modified xsi:type="dcterms:W3CDTF">2023-06-20T12:51:56Z</dcterms:modified>
</cp:coreProperties>
</file>