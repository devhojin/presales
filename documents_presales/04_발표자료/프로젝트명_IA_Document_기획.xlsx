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filterPrivacy="1" defaultThemeVersion="124226"/>
  <xr:revisionPtr revIDLastSave="0" documentId="8_{52415E56-0921-40D4-95DE-7342A4102DEB}" xr6:coauthVersionLast="47" xr6:coauthVersionMax="47" xr10:uidLastSave="{00000000-0000-0000-0000-000000000000}"/>
  <bookViews>
    <workbookView xWindow="-120" yWindow="-120" windowWidth="29040" windowHeight="15720" tabRatio="534" activeTab="2"/>
  </bookViews>
  <sheets>
    <sheet name="개정이력" sheetId="15" r:id="rId1"/>
    <sheet name="Code" sheetId="5" r:id="rId2"/>
    <sheet name="Front" sheetId="10" r:id="rId3"/>
    <sheet name="Admin" sheetId="13" r:id="rId4"/>
  </sheets>
  <definedNames>
    <definedName name="_xlnm.Print_Area" localSheetId="3">Admin!$C$4:$O$14</definedName>
    <definedName name="_xlnm.Print_Area" localSheetId="2">Front!$C$7:$G$32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0" l="1"/>
  <c r="P33" i="10"/>
  <c r="Q33" i="10"/>
  <c r="L33" i="10"/>
  <c r="M33" i="10"/>
  <c r="N33" i="10"/>
  <c r="R33" i="10"/>
  <c r="I15" i="13"/>
  <c r="C19" i="13"/>
  <c r="H33" i="10"/>
  <c r="C35" i="10"/>
  <c r="I33" i="10"/>
  <c r="C36" i="10"/>
  <c r="J33" i="10"/>
  <c r="C37" i="10"/>
  <c r="H15" i="13"/>
  <c r="C17" i="13"/>
  <c r="J15" i="13"/>
  <c r="C18" i="13"/>
  <c r="K33" i="10"/>
  <c r="C38" i="10"/>
  <c r="C20" i="13"/>
  <c r="C39" i="10"/>
  <c r="C40" i="10"/>
</calcChain>
</file>

<file path=xl/sharedStrings.xml><?xml version="1.0" encoding="utf-8"?>
<sst xmlns="http://schemas.openxmlformats.org/spreadsheetml/2006/main" count="253" uniqueCount="133">
  <si>
    <t>0002</t>
    <phoneticPr fontId="2" type="noConversion"/>
  </si>
  <si>
    <t>MA</t>
    <phoneticPr fontId="2" type="noConversion"/>
  </si>
  <si>
    <t>0001</t>
    <phoneticPr fontId="2" type="noConversion"/>
  </si>
  <si>
    <t>MAIN</t>
    <phoneticPr fontId="3" type="noConversion"/>
  </si>
  <si>
    <t>고객센터</t>
    <phoneticPr fontId="3" type="noConversion"/>
  </si>
  <si>
    <t>Front Code</t>
    <phoneticPr fontId="3" type="noConversion"/>
  </si>
  <si>
    <t>MA</t>
    <phoneticPr fontId="3" type="noConversion"/>
  </si>
  <si>
    <t>MAIN</t>
    <phoneticPr fontId="3" type="noConversion"/>
  </si>
  <si>
    <t>CL</t>
    <phoneticPr fontId="3" type="noConversion"/>
  </si>
  <si>
    <t>MY</t>
    <phoneticPr fontId="3" type="noConversion"/>
  </si>
  <si>
    <t>CO</t>
    <phoneticPr fontId="3" type="noConversion"/>
  </si>
  <si>
    <t>CU</t>
    <phoneticPr fontId="3" type="noConversion"/>
  </si>
  <si>
    <t>SE</t>
    <phoneticPr fontId="3" type="noConversion"/>
  </si>
  <si>
    <t>1 Depth (menu)</t>
    <phoneticPr fontId="3" type="noConversion"/>
  </si>
  <si>
    <t>2 Depth (menu)</t>
    <phoneticPr fontId="3" type="noConversion"/>
  </si>
  <si>
    <t>3 Depth (menu)</t>
    <phoneticPr fontId="3" type="noConversion"/>
  </si>
  <si>
    <t>CODE_name</t>
    <phoneticPr fontId="3" type="noConversion"/>
  </si>
  <si>
    <t>CODE_no</t>
    <phoneticPr fontId="3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</si>
  <si>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</si>
  <si>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</si>
  <si>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</si>
  <si>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</si>
  <si>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</si>
  <si>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</si>
  <si>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</si>
  <si>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</si>
  <si>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</si>
  <si>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회원가입</t>
    <phoneticPr fontId="3" type="noConversion"/>
  </si>
  <si>
    <t>AD</t>
    <phoneticPr fontId="3" type="noConversion"/>
  </si>
  <si>
    <t>Popup</t>
    <phoneticPr fontId="2" type="noConversion"/>
  </si>
  <si>
    <t>Service</t>
    <phoneticPr fontId="3" type="noConversion"/>
  </si>
  <si>
    <t>DB</t>
    <phoneticPr fontId="2" type="noConversion"/>
  </si>
  <si>
    <t>ME</t>
    <phoneticPr fontId="3" type="noConversion"/>
  </si>
  <si>
    <t>BE</t>
    <phoneticPr fontId="3" type="noConversion"/>
  </si>
  <si>
    <t>Code_name</t>
    <phoneticPr fontId="3" type="noConversion"/>
  </si>
  <si>
    <t>1Depth</t>
    <phoneticPr fontId="3" type="noConversion"/>
  </si>
  <si>
    <t>TS</t>
    <phoneticPr fontId="3" type="noConversion"/>
  </si>
  <si>
    <t>AL</t>
    <phoneticPr fontId="3" type="noConversion"/>
  </si>
  <si>
    <t>MP</t>
    <phoneticPr fontId="3" type="noConversion"/>
  </si>
  <si>
    <t>기타</t>
    <phoneticPr fontId="3" type="noConversion"/>
  </si>
  <si>
    <t>ET</t>
    <phoneticPr fontId="3" type="noConversion"/>
  </si>
  <si>
    <t>Front I.A</t>
    <phoneticPr fontId="3" type="noConversion"/>
  </si>
  <si>
    <t>HTML</t>
    <phoneticPr fontId="3" type="noConversion"/>
  </si>
  <si>
    <t>FLASH</t>
    <phoneticPr fontId="2" type="noConversion"/>
  </si>
  <si>
    <t>Oracle</t>
    <phoneticPr fontId="2" type="noConversion"/>
  </si>
  <si>
    <t>Meta_DB</t>
    <phoneticPr fontId="2" type="noConversion"/>
  </si>
  <si>
    <t>KT_DB</t>
    <phoneticPr fontId="2" type="noConversion"/>
  </si>
  <si>
    <t>CP</t>
    <phoneticPr fontId="2" type="noConversion"/>
  </si>
  <si>
    <t>BE</t>
    <phoneticPr fontId="2" type="noConversion"/>
  </si>
  <si>
    <t>INDEX</t>
    <phoneticPr fontId="3" type="noConversion"/>
  </si>
  <si>
    <t>Popup</t>
    <phoneticPr fontId="3" type="noConversion"/>
  </si>
  <si>
    <t>FLASH</t>
    <phoneticPr fontId="3" type="noConversion"/>
  </si>
  <si>
    <t>Page</t>
    <phoneticPr fontId="3" type="noConversion"/>
  </si>
  <si>
    <t>MP</t>
    <phoneticPr fontId="2" type="noConversion"/>
  </si>
  <si>
    <t>CO</t>
    <phoneticPr fontId="2" type="noConversion"/>
  </si>
  <si>
    <t>AD</t>
    <phoneticPr fontId="2" type="noConversion"/>
  </si>
  <si>
    <t>TE</t>
    <phoneticPr fontId="5" type="noConversion"/>
  </si>
  <si>
    <t>개정 이력</t>
    <phoneticPr fontId="3" type="noConversion"/>
  </si>
  <si>
    <t>No</t>
  </si>
  <si>
    <t>Ver</t>
    <phoneticPr fontId="3" type="noConversion"/>
  </si>
  <si>
    <t>변경일</t>
  </si>
  <si>
    <t>변경 내용</t>
    <phoneticPr fontId="3" type="noConversion"/>
  </si>
  <si>
    <t>작성자</t>
  </si>
  <si>
    <t>승인자</t>
  </si>
  <si>
    <t>Admin Code</t>
    <phoneticPr fontId="3" type="noConversion"/>
  </si>
  <si>
    <t>AK</t>
    <phoneticPr fontId="3" type="noConversion"/>
  </si>
  <si>
    <t>AI</t>
    <phoneticPr fontId="3" type="noConversion"/>
  </si>
  <si>
    <t>AJ</t>
    <phoneticPr fontId="3" type="noConversion"/>
  </si>
  <si>
    <t>화면ID</t>
    <phoneticPr fontId="3" type="noConversion"/>
  </si>
  <si>
    <t>형태</t>
    <phoneticPr fontId="3" type="noConversion"/>
  </si>
  <si>
    <t>신규</t>
    <phoneticPr fontId="2" type="noConversion"/>
  </si>
  <si>
    <t>지속</t>
    <phoneticPr fontId="2" type="noConversion"/>
  </si>
  <si>
    <t>개선</t>
    <phoneticPr fontId="2" type="noConversion"/>
  </si>
  <si>
    <t>총작업본수</t>
    <phoneticPr fontId="3" type="noConversion"/>
  </si>
  <si>
    <t>화면ID</t>
    <phoneticPr fontId="3" type="noConversion"/>
  </si>
  <si>
    <t>1 Depth (menu)</t>
    <phoneticPr fontId="3" type="noConversion"/>
  </si>
  <si>
    <t>2 Depth (menu)</t>
    <phoneticPr fontId="3" type="noConversion"/>
  </si>
  <si>
    <t>3 Depth (menu)</t>
    <phoneticPr fontId="3" type="noConversion"/>
  </si>
  <si>
    <t>4 Depth (category)</t>
    <phoneticPr fontId="3" type="noConversion"/>
  </si>
  <si>
    <t>형태</t>
    <phoneticPr fontId="3" type="noConversion"/>
  </si>
  <si>
    <t>권한</t>
    <phoneticPr fontId="2" type="noConversion"/>
  </si>
  <si>
    <t>비고</t>
    <phoneticPr fontId="3" type="noConversion"/>
  </si>
  <si>
    <t>CODE_name</t>
    <phoneticPr fontId="3" type="noConversion"/>
  </si>
  <si>
    <t>CODE_no</t>
    <phoneticPr fontId="3" type="noConversion"/>
  </si>
  <si>
    <t>Popup</t>
    <phoneticPr fontId="2" type="noConversion"/>
  </si>
  <si>
    <t>koid_SA</t>
    <phoneticPr fontId="2" type="noConversion"/>
  </si>
  <si>
    <t>koid_A</t>
    <phoneticPr fontId="2" type="noConversion"/>
  </si>
  <si>
    <t>PS_SA</t>
    <phoneticPr fontId="2" type="noConversion"/>
  </si>
  <si>
    <t>NS_SA</t>
    <phoneticPr fontId="2" type="noConversion"/>
  </si>
  <si>
    <t>TM</t>
    <phoneticPr fontId="2" type="noConversion"/>
  </si>
  <si>
    <t>AK</t>
    <phoneticPr fontId="2" type="noConversion"/>
  </si>
  <si>
    <t>메인(로그인)</t>
    <phoneticPr fontId="2" type="noConversion"/>
  </si>
  <si>
    <t>○</t>
    <phoneticPr fontId="2" type="noConversion"/>
  </si>
  <si>
    <t>○</t>
    <phoneticPr fontId="2" type="noConversion"/>
  </si>
  <si>
    <t>AK</t>
    <phoneticPr fontId="2" type="noConversion"/>
  </si>
  <si>
    <t>메뉴1</t>
    <phoneticPr fontId="2" type="noConversion"/>
  </si>
  <si>
    <t>메뉴2</t>
    <phoneticPr fontId="2" type="noConversion"/>
  </si>
  <si>
    <t>메뉴3</t>
  </si>
  <si>
    <t>메뉴4</t>
  </si>
  <si>
    <t>메뉴5</t>
  </si>
  <si>
    <t>메뉴6</t>
  </si>
  <si>
    <t>메뉴7</t>
  </si>
  <si>
    <t>메뉴8</t>
  </si>
  <si>
    <t>시스템관리</t>
    <phoneticPr fontId="3" type="noConversion"/>
  </si>
  <si>
    <t>게시판관리</t>
    <phoneticPr fontId="3" type="noConversion"/>
  </si>
  <si>
    <t>컨텐츠관리</t>
    <phoneticPr fontId="5" type="noConversion"/>
  </si>
  <si>
    <t>AH</t>
    <phoneticPr fontId="3" type="noConversion"/>
  </si>
  <si>
    <t>GNB1</t>
    <phoneticPr fontId="3" type="noConversion"/>
  </si>
  <si>
    <t>GNB2</t>
    <phoneticPr fontId="3" type="noConversion"/>
  </si>
  <si>
    <t>GNB3</t>
    <phoneticPr fontId="3" type="noConversion"/>
  </si>
  <si>
    <t>GNB4</t>
  </si>
  <si>
    <t>GNB5</t>
  </si>
  <si>
    <t>GNB6</t>
  </si>
  <si>
    <t>GNB7</t>
  </si>
  <si>
    <t>마이페이지</t>
    <phoneticPr fontId="3" type="noConversion"/>
  </si>
  <si>
    <t>검색</t>
    <phoneticPr fontId="3" type="noConversion"/>
  </si>
  <si>
    <t>GNB8</t>
  </si>
  <si>
    <t>HTML</t>
    <phoneticPr fontId="2" type="noConversion"/>
  </si>
  <si>
    <t>비고</t>
    <phoneticPr fontId="2" type="noConversion"/>
  </si>
  <si>
    <t>Admin  I.A</t>
    <phoneticPr fontId="3" type="noConversion"/>
  </si>
  <si>
    <t>4 Depth (category)</t>
    <phoneticPr fontId="3" type="noConversion"/>
  </si>
  <si>
    <t>내용</t>
    <phoneticPr fontId="3" type="noConversion"/>
  </si>
  <si>
    <t>Admin 적용</t>
    <phoneticPr fontId="27" type="noConversion"/>
  </si>
  <si>
    <t>O</t>
    <phoneticPr fontId="27" type="noConversion"/>
  </si>
  <si>
    <t>O</t>
    <phoneticPr fontId="27" type="noConversion"/>
  </si>
  <si>
    <t>내용</t>
    <phoneticPr fontId="2" type="noConversion"/>
  </si>
  <si>
    <t>작업자</t>
    <phoneticPr fontId="27" type="noConversion"/>
  </si>
  <si>
    <t>작업자</t>
    <phoneticPr fontId="2" type="noConversion"/>
  </si>
  <si>
    <t>Dev</t>
    <phoneticPr fontId="3" type="noConversion"/>
  </si>
  <si>
    <t>메뉴명</t>
  </si>
  <si>
    <t>메뉴명</t>
    <phoneticPr fontId="3" type="noConversion"/>
  </si>
  <si>
    <t>메뉴명</t>
    <phoneticPr fontId="27" type="noConversion"/>
  </si>
  <si>
    <t>메뉴명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</si>
</sst>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 * #,##0_ ;_ * \-#,##0_ ;_ * &quot;-&quot;_ ;_ @_ "/>
    <numFmt numFmtId="177" formatCode="_ * #,##0.00_ ;_ * \-#,##0.00_ ;_ * &quot;-&quot;??_ ;_ @_ "/>
    <numFmt numFmtId="178" formatCode="#.##"/>
    <numFmt numFmtId="179" formatCode="#,##0.000;[Red]&quot;-&quot;#,##0.000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hh:mm:ss&quot;₩&quot;&quot;₩&quot;&quot;₩&quot;&quot;₩&quot;&quot;₩&quot;&quot;₩&quot;&quot;₩&quot;&quot;₩&quot;\ AM/PM_)"/>
  </numFmts>
  <fonts count="49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0"/>
      <name val="Helv"/>
      <family val="2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b/>
      <sz val="8"/>
      <name val="돋움"/>
      <family val="3"/>
      <charset val="129"/>
    </font>
    <font>
      <sz val="10"/>
      <name val="Arial"/>
      <family val="2"/>
    </font>
    <font>
      <u/>
      <sz val="10"/>
      <color indexed="14"/>
      <name val="MS Sans Serif"/>
      <family val="2"/>
    </font>
    <font>
      <sz val="12"/>
      <name val="굴림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b/>
      <sz val="28"/>
      <name val="맑은 고딕"/>
      <family val="3"/>
      <charset val="129"/>
    </font>
    <font>
      <b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color indexed="9"/>
      <name val="Tahoma"/>
      <family val="2"/>
    </font>
    <font>
      <b/>
      <sz val="8"/>
      <name val="Tahoma"/>
      <family val="2"/>
    </font>
    <font>
      <b/>
      <sz val="8"/>
      <name val="맑은 고딕"/>
      <family val="3"/>
      <charset val="129"/>
    </font>
    <font>
      <b/>
      <sz val="8"/>
      <color indexed="62"/>
      <name val="Tahoma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2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/>
      <diagonal/>
    </border>
    <border>
      <left style="thin">
        <color indexed="23"/>
      </left>
      <right/>
      <top style="thin">
        <color indexed="8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 style="thin">
        <color indexed="8"/>
      </top>
      <bottom style="thin">
        <color indexed="23"/>
      </bottom>
      <diagonal/>
    </border>
    <border>
      <left/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>
      <alignment vertical="center"/>
    </xf>
    <xf numFmtId="0" fontId="6" fillId="0" borderId="0"/>
    <xf numFmtId="0" fontId="10" fillId="0" borderId="0"/>
    <xf numFmtId="17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0" fontId="13" fillId="0" borderId="0"/>
    <xf numFmtId="0" fontId="10" fillId="0" borderId="0"/>
    <xf numFmtId="0" fontId="14" fillId="0" borderId="0"/>
    <xf numFmtId="180" fontId="4" fillId="0" borderId="0"/>
    <xf numFmtId="181" fontId="4" fillId="0" borderId="0"/>
    <xf numFmtId="182" fontId="4" fillId="0" borderId="0"/>
    <xf numFmtId="38" fontId="15" fillId="2" borderId="0" applyNumberFormat="0" applyBorder="0" applyAlignment="0" applyProtection="0"/>
    <xf numFmtId="0" fontId="16" fillId="0" borderId="0">
      <alignment horizontal="left"/>
    </xf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0" fontId="18" fillId="0" borderId="0" applyNumberFormat="0" applyFill="0" applyBorder="0" applyAlignment="0" applyProtection="0"/>
    <xf numFmtId="10" fontId="15" fillId="3" borderId="3" applyNumberFormat="0" applyBorder="0" applyAlignment="0" applyProtection="0"/>
    <xf numFmtId="0" fontId="19" fillId="0" borderId="4"/>
    <xf numFmtId="183" fontId="12" fillId="0" borderId="0"/>
    <xf numFmtId="10" fontId="10" fillId="0" borderId="0" applyFont="0" applyFill="0" applyBorder="0" applyAlignment="0" applyProtection="0"/>
    <xf numFmtId="0" fontId="19" fillId="0" borderId="0"/>
    <xf numFmtId="0" fontId="11" fillId="0" borderId="0" applyNumberFormat="0" applyFill="0" applyBorder="0" applyAlignment="0" applyProtection="0"/>
    <xf numFmtId="0" fontId="6" fillId="0" borderId="0"/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1" fillId="0" borderId="0">
      <alignment vertical="center"/>
    </xf>
    <xf numFmtId="0" fontId="4" fillId="0" borderId="0"/>
    <xf numFmtId="0" fontId="3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>
      <alignment vertical="center"/>
    </xf>
    <xf numFmtId="0" fontId="4" fillId="0" borderId="0">
      <alignment vertical="center"/>
    </xf>
    <xf numFmtId="0" fontId="10" fillId="0" borderId="0"/>
    <xf numFmtId="0" fontId="32" fillId="0" borderId="0" applyNumberFormat="0" applyFill="0" applyBorder="0" applyAlignment="0" applyProtection="0">
      <alignment vertical="top"/>
      <protection locked="0"/>
    </xf>
  </cellStyleXfs>
  <cellXfs count="202">
    <xf numFmtId="0" fontId="0" fillId="0" borderId="0" xfId="0">
      <alignment vertical="center"/>
    </xf>
    <xf numFmtId="0" fontId="4" fillId="0" borderId="0" xfId="26"/>
    <xf numFmtId="0" fontId="3" fillId="4" borderId="0" xfId="26" applyFont="1" applyFill="1" applyAlignment="1">
      <alignment horizontal="center" vertical="center"/>
    </xf>
    <xf numFmtId="0" fontId="9" fillId="4" borderId="0" xfId="26" applyFont="1" applyFill="1" applyAlignment="1">
      <alignment vertical="center"/>
    </xf>
    <xf numFmtId="0" fontId="3" fillId="4" borderId="0" xfId="26" applyFont="1" applyFill="1" applyAlignment="1">
      <alignment vertical="center"/>
    </xf>
    <xf numFmtId="0" fontId="20" fillId="4" borderId="4" xfId="26" applyFont="1" applyFill="1" applyBorder="1" applyAlignment="1">
      <alignment horizontal="left" vertical="center"/>
    </xf>
    <xf numFmtId="0" fontId="21" fillId="4" borderId="0" xfId="26" applyFont="1" applyFill="1" applyAlignment="1">
      <alignment horizontal="center" vertical="center"/>
    </xf>
    <xf numFmtId="0" fontId="22" fillId="4" borderId="0" xfId="26" applyFont="1" applyFill="1" applyAlignment="1">
      <alignment horizontal="center" vertical="center"/>
    </xf>
    <xf numFmtId="0" fontId="3" fillId="4" borderId="0" xfId="26" applyFont="1" applyFill="1" applyAlignment="1">
      <alignment horizontal="left" vertical="center"/>
    </xf>
    <xf numFmtId="0" fontId="3" fillId="0" borderId="0" xfId="26" applyFont="1" applyFill="1" applyAlignment="1">
      <alignment vertical="center"/>
    </xf>
    <xf numFmtId="0" fontId="25" fillId="4" borderId="5" xfId="26" applyFont="1" applyFill="1" applyBorder="1" applyAlignment="1">
      <alignment horizontal="center" vertical="center"/>
    </xf>
    <xf numFmtId="0" fontId="25" fillId="4" borderId="6" xfId="26" applyFont="1" applyFill="1" applyBorder="1" applyAlignment="1">
      <alignment horizontal="center" vertical="center"/>
    </xf>
    <xf numFmtId="0" fontId="23" fillId="5" borderId="5" xfId="26" applyFont="1" applyFill="1" applyBorder="1" applyAlignment="1">
      <alignment horizontal="center" vertical="center"/>
    </xf>
    <xf numFmtId="0" fontId="24" fillId="4" borderId="5" xfId="26" applyFont="1" applyFill="1" applyBorder="1" applyAlignment="1">
      <alignment horizontal="center" vertical="center"/>
    </xf>
    <xf numFmtId="0" fontId="23" fillId="5" borderId="5" xfId="26" applyFont="1" applyFill="1" applyBorder="1" applyAlignment="1" applyProtection="1">
      <alignment vertical="center" wrapText="1"/>
      <protection locked="0"/>
    </xf>
    <xf numFmtId="0" fontId="26" fillId="4" borderId="7" xfId="26" applyFont="1" applyFill="1" applyBorder="1" applyAlignment="1">
      <alignment horizontal="center" vertical="center"/>
    </xf>
    <xf numFmtId="0" fontId="26" fillId="4" borderId="5" xfId="26" applyFont="1" applyFill="1" applyBorder="1" applyAlignment="1">
      <alignment horizontal="center" vertical="center"/>
    </xf>
    <xf numFmtId="0" fontId="26" fillId="6" borderId="5" xfId="26" applyFont="1" applyFill="1" applyBorder="1" applyAlignment="1">
      <alignment horizontal="center" vertical="center"/>
    </xf>
    <xf numFmtId="0" fontId="24" fillId="6" borderId="5" xfId="26" applyFont="1" applyFill="1" applyBorder="1" applyAlignment="1">
      <alignment horizontal="center" vertical="center"/>
    </xf>
    <xf numFmtId="0" fontId="29" fillId="0" borderId="0" xfId="38" applyFont="1" applyBorder="1"/>
    <xf numFmtId="0" fontId="29" fillId="0" borderId="0" xfId="38" applyFont="1"/>
    <xf numFmtId="0" fontId="30" fillId="0" borderId="0" xfId="38" applyFont="1"/>
    <xf numFmtId="0" fontId="20" fillId="0" borderId="4" xfId="38" applyFont="1" applyBorder="1" applyAlignment="1">
      <alignment horizontal="left" vertical="center"/>
    </xf>
    <xf numFmtId="0" fontId="20" fillId="0" borderId="4" xfId="38" applyFont="1" applyBorder="1" applyAlignment="1">
      <alignment vertical="center"/>
    </xf>
    <xf numFmtId="0" fontId="33" fillId="17" borderId="29" xfId="37" applyFont="1" applyFill="1" applyBorder="1" applyAlignment="1">
      <alignment horizontal="center" vertical="center" wrapText="1"/>
    </xf>
    <xf numFmtId="0" fontId="33" fillId="17" borderId="30" xfId="37" applyFont="1" applyFill="1" applyBorder="1" applyAlignment="1">
      <alignment horizontal="center" vertical="center" wrapText="1"/>
    </xf>
    <xf numFmtId="0" fontId="33" fillId="17" borderId="31" xfId="37" applyFont="1" applyFill="1" applyBorder="1" applyAlignment="1">
      <alignment horizontal="center" vertical="center" wrapText="1"/>
    </xf>
    <xf numFmtId="0" fontId="7" fillId="0" borderId="0" xfId="37" applyFont="1" applyAlignment="1"/>
    <xf numFmtId="0" fontId="29" fillId="0" borderId="3" xfId="37" applyFont="1" applyBorder="1" applyAlignment="1">
      <alignment horizontal="center" vertical="center" wrapText="1"/>
    </xf>
    <xf numFmtId="14" fontId="29" fillId="0" borderId="3" xfId="37" applyNumberFormat="1" applyFont="1" applyBorder="1" applyAlignment="1">
      <alignment horizontal="center" vertical="center" wrapText="1"/>
    </xf>
    <xf numFmtId="0" fontId="29" fillId="0" borderId="8" xfId="37" applyFont="1" applyBorder="1" applyAlignment="1"/>
    <xf numFmtId="0" fontId="29" fillId="0" borderId="9" xfId="37" applyFont="1" applyBorder="1" applyAlignment="1"/>
    <xf numFmtId="0" fontId="7" fillId="0" borderId="10" xfId="37" applyFont="1" applyBorder="1" applyAlignment="1">
      <alignment horizontal="center" vertical="center" wrapText="1"/>
    </xf>
    <xf numFmtId="0" fontId="7" fillId="0" borderId="0" xfId="37" applyFont="1" applyBorder="1" applyAlignment="1"/>
    <xf numFmtId="0" fontId="29" fillId="0" borderId="3" xfId="37" quotePrefix="1" applyFont="1" applyBorder="1" applyAlignment="1">
      <alignment horizontal="center" vertical="center" wrapText="1"/>
    </xf>
    <xf numFmtId="0" fontId="25" fillId="0" borderId="3" xfId="37" applyFont="1" applyBorder="1" applyAlignment="1">
      <alignment vertical="center"/>
    </xf>
    <xf numFmtId="0" fontId="2" fillId="0" borderId="3" xfId="37" quotePrefix="1" applyFont="1" applyBorder="1" applyAlignment="1">
      <alignment vertical="center"/>
    </xf>
    <xf numFmtId="0" fontId="2" fillId="0" borderId="3" xfId="37" applyFont="1" applyBorder="1" applyAlignment="1">
      <alignment vertical="center"/>
    </xf>
    <xf numFmtId="0" fontId="30" fillId="0" borderId="0" xfId="38" applyFont="1" applyBorder="1"/>
    <xf numFmtId="0" fontId="26" fillId="0" borderId="5" xfId="26" applyFont="1" applyFill="1" applyBorder="1" applyAlignment="1">
      <alignment horizontal="center" vertical="center"/>
    </xf>
    <xf numFmtId="0" fontId="24" fillId="0" borderId="5" xfId="26" applyFont="1" applyFill="1" applyBorder="1" applyAlignment="1">
      <alignment horizontal="center" vertical="center"/>
    </xf>
    <xf numFmtId="0" fontId="34" fillId="4" borderId="0" xfId="26" applyFont="1" applyFill="1" applyAlignment="1">
      <alignment horizontal="center" vertical="center"/>
    </xf>
    <xf numFmtId="0" fontId="35" fillId="4" borderId="0" xfId="26" applyFont="1" applyFill="1" applyAlignment="1">
      <alignment vertical="center"/>
    </xf>
    <xf numFmtId="0" fontId="34" fillId="4" borderId="0" xfId="26" applyFont="1" applyFill="1" applyAlignment="1">
      <alignment horizontal="left" vertical="center"/>
    </xf>
    <xf numFmtId="0" fontId="34" fillId="4" borderId="0" xfId="26" applyFont="1" applyFill="1" applyAlignment="1">
      <alignment vertical="center"/>
    </xf>
    <xf numFmtId="0" fontId="34" fillId="4" borderId="0" xfId="26" applyFont="1" applyFill="1" applyAlignment="1">
      <alignment horizontal="right" vertical="center"/>
    </xf>
    <xf numFmtId="0" fontId="34" fillId="4" borderId="0" xfId="26" applyFont="1" applyFill="1" applyAlignment="1">
      <alignment horizontal="right" vertical="center" wrapText="1"/>
    </xf>
    <xf numFmtId="0" fontId="34" fillId="4" borderId="0" xfId="26" applyFont="1" applyFill="1" applyBorder="1" applyAlignment="1">
      <alignment vertical="center"/>
    </xf>
    <xf numFmtId="0" fontId="36" fillId="4" borderId="11" xfId="26" applyFont="1" applyFill="1" applyBorder="1" applyAlignment="1">
      <alignment horizontal="left" vertical="center"/>
    </xf>
    <xf numFmtId="0" fontId="36" fillId="4" borderId="11" xfId="26" applyFont="1" applyFill="1" applyBorder="1" applyAlignment="1">
      <alignment horizontal="center" vertical="center"/>
    </xf>
    <xf numFmtId="0" fontId="37" fillId="4" borderId="11" xfId="26" applyFont="1" applyFill="1" applyBorder="1" applyAlignment="1">
      <alignment horizontal="left" vertical="center"/>
    </xf>
    <xf numFmtId="0" fontId="38" fillId="4" borderId="11" xfId="26" applyFont="1" applyFill="1" applyBorder="1" applyAlignment="1">
      <alignment horizontal="center" vertical="center"/>
    </xf>
    <xf numFmtId="0" fontId="38" fillId="4" borderId="11" xfId="26" applyFont="1" applyFill="1" applyBorder="1" applyAlignment="1">
      <alignment horizontal="right" vertical="center"/>
    </xf>
    <xf numFmtId="0" fontId="37" fillId="4" borderId="11" xfId="26" applyFont="1" applyFill="1" applyBorder="1" applyAlignment="1">
      <alignment horizontal="center" vertical="center"/>
    </xf>
    <xf numFmtId="0" fontId="37" fillId="4" borderId="11" xfId="26" applyFont="1" applyFill="1" applyBorder="1" applyAlignment="1">
      <alignment horizontal="right" vertical="center"/>
    </xf>
    <xf numFmtId="0" fontId="34" fillId="4" borderId="0" xfId="26" applyFont="1" applyFill="1" applyBorder="1" applyAlignment="1">
      <alignment horizontal="center" vertical="center"/>
    </xf>
    <xf numFmtId="0" fontId="35" fillId="4" borderId="0" xfId="26" applyFont="1" applyFill="1" applyBorder="1" applyAlignment="1">
      <alignment vertical="center"/>
    </xf>
    <xf numFmtId="0" fontId="34" fillId="4" borderId="0" xfId="26" applyFont="1" applyFill="1" applyBorder="1" applyAlignment="1">
      <alignment horizontal="left" vertical="center"/>
    </xf>
    <xf numFmtId="0" fontId="34" fillId="4" borderId="0" xfId="26" applyFont="1" applyFill="1" applyBorder="1" applyAlignment="1">
      <alignment horizontal="right" vertical="center"/>
    </xf>
    <xf numFmtId="0" fontId="34" fillId="4" borderId="0" xfId="26" applyFont="1" applyFill="1" applyBorder="1" applyAlignment="1">
      <alignment horizontal="right" vertical="center" wrapText="1"/>
    </xf>
    <xf numFmtId="0" fontId="39" fillId="5" borderId="12" xfId="26" applyFont="1" applyFill="1" applyBorder="1" applyAlignment="1">
      <alignment horizontal="center" vertical="center"/>
    </xf>
    <xf numFmtId="0" fontId="40" fillId="4" borderId="0" xfId="26" applyFont="1" applyFill="1" applyBorder="1"/>
    <xf numFmtId="0" fontId="41" fillId="8" borderId="5" xfId="26" applyFont="1" applyFill="1" applyBorder="1" applyAlignment="1">
      <alignment horizontal="center" vertical="center"/>
    </xf>
    <xf numFmtId="0" fontId="34" fillId="2" borderId="5" xfId="26" applyFont="1" applyFill="1" applyBorder="1" applyAlignment="1">
      <alignment horizontal="center" vertical="center"/>
    </xf>
    <xf numFmtId="0" fontId="34" fillId="9" borderId="5" xfId="26" applyFont="1" applyFill="1" applyBorder="1" applyAlignment="1">
      <alignment horizontal="center" vertical="center"/>
    </xf>
    <xf numFmtId="0" fontId="34" fillId="10" borderId="5" xfId="26" applyFont="1" applyFill="1" applyBorder="1" applyAlignment="1">
      <alignment horizontal="center" vertical="center"/>
    </xf>
    <xf numFmtId="0" fontId="34" fillId="11" borderId="5" xfId="26" applyFont="1" applyFill="1" applyBorder="1" applyAlignment="1">
      <alignment horizontal="center" vertical="center"/>
    </xf>
    <xf numFmtId="0" fontId="42" fillId="4" borderId="0" xfId="26" applyFont="1" applyFill="1" applyBorder="1"/>
    <xf numFmtId="0" fontId="43" fillId="12" borderId="5" xfId="36" applyFont="1" applyFill="1" applyBorder="1" applyAlignment="1">
      <alignment horizontal="center" vertical="center"/>
    </xf>
    <xf numFmtId="49" fontId="43" fillId="12" borderId="5" xfId="36" applyNumberFormat="1" applyFont="1" applyFill="1" applyBorder="1" applyAlignment="1">
      <alignment horizontal="center" vertical="center"/>
    </xf>
    <xf numFmtId="0" fontId="43" fillId="12" borderId="5" xfId="36" applyFont="1" applyFill="1" applyBorder="1" applyAlignment="1">
      <alignment vertical="center"/>
    </xf>
    <xf numFmtId="0" fontId="44" fillId="12" borderId="5" xfId="36" applyFont="1" applyFill="1" applyBorder="1" applyAlignment="1">
      <alignment vertical="center"/>
    </xf>
    <xf numFmtId="0" fontId="44" fillId="12" borderId="5" xfId="36" applyFont="1" applyFill="1" applyBorder="1">
      <alignment vertical="center"/>
    </xf>
    <xf numFmtId="0" fontId="44" fillId="12" borderId="5" xfId="36" applyFont="1" applyFill="1" applyBorder="1" applyAlignment="1">
      <alignment horizontal="right" vertical="center"/>
    </xf>
    <xf numFmtId="0" fontId="45" fillId="4" borderId="0" xfId="36" applyFont="1" applyFill="1" applyBorder="1">
      <alignment vertical="center"/>
    </xf>
    <xf numFmtId="0" fontId="44" fillId="13" borderId="5" xfId="36" applyFont="1" applyFill="1" applyBorder="1" applyAlignment="1">
      <alignment horizontal="center" vertical="center"/>
    </xf>
    <xf numFmtId="49" fontId="44" fillId="13" borderId="5" xfId="36" applyNumberFormat="1" applyFont="1" applyFill="1" applyBorder="1" applyAlignment="1">
      <alignment horizontal="center" vertical="center"/>
    </xf>
    <xf numFmtId="0" fontId="44" fillId="13" borderId="5" xfId="36" applyFont="1" applyFill="1" applyBorder="1" applyAlignment="1">
      <alignment vertical="center"/>
    </xf>
    <xf numFmtId="0" fontId="44" fillId="13" borderId="5" xfId="36" applyFont="1" applyFill="1" applyBorder="1">
      <alignment vertical="center"/>
    </xf>
    <xf numFmtId="0" fontId="44" fillId="13" borderId="5" xfId="36" applyFont="1" applyFill="1" applyBorder="1" applyAlignment="1">
      <alignment horizontal="right" vertical="center"/>
    </xf>
    <xf numFmtId="0" fontId="44" fillId="0" borderId="5" xfId="36" applyFont="1" applyBorder="1" applyAlignment="1">
      <alignment horizontal="center" vertical="center"/>
    </xf>
    <xf numFmtId="49" fontId="44" fillId="0" borderId="5" xfId="36" applyNumberFormat="1" applyFont="1" applyFill="1" applyBorder="1" applyAlignment="1">
      <alignment horizontal="center" vertical="center"/>
    </xf>
    <xf numFmtId="0" fontId="44" fillId="0" borderId="13" xfId="36" applyFont="1" applyFill="1" applyBorder="1" applyAlignment="1">
      <alignment vertical="center"/>
    </xf>
    <xf numFmtId="0" fontId="44" fillId="0" borderId="7" xfId="36" applyFont="1" applyFill="1" applyBorder="1" applyAlignment="1">
      <alignment vertical="center"/>
    </xf>
    <xf numFmtId="0" fontId="44" fillId="0" borderId="5" xfId="36" applyFont="1" applyFill="1" applyBorder="1" applyAlignment="1">
      <alignment vertical="center"/>
    </xf>
    <xf numFmtId="0" fontId="44" fillId="0" borderId="5" xfId="36" applyFont="1" applyFill="1" applyBorder="1">
      <alignment vertical="center"/>
    </xf>
    <xf numFmtId="0" fontId="44" fillId="0" borderId="5" xfId="36" applyFont="1" applyFill="1" applyBorder="1" applyAlignment="1">
      <alignment horizontal="right" vertical="center"/>
    </xf>
    <xf numFmtId="0" fontId="44" fillId="0" borderId="5" xfId="36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center" vertical="center"/>
    </xf>
    <xf numFmtId="49" fontId="44" fillId="4" borderId="5" xfId="0" applyNumberFormat="1" applyFont="1" applyFill="1" applyBorder="1" applyAlignment="1">
      <alignment horizontal="center" vertical="center"/>
    </xf>
    <xf numFmtId="0" fontId="44" fillId="4" borderId="13" xfId="0" applyFont="1" applyFill="1" applyBorder="1" applyAlignment="1">
      <alignment vertical="center"/>
    </xf>
    <xf numFmtId="0" fontId="44" fillId="4" borderId="5" xfId="0" applyFont="1" applyFill="1" applyBorder="1">
      <alignment vertical="center"/>
    </xf>
    <xf numFmtId="0" fontId="44" fillId="4" borderId="5" xfId="0" applyFont="1" applyFill="1" applyBorder="1" applyAlignment="1">
      <alignment horizontal="left" vertical="center"/>
    </xf>
    <xf numFmtId="0" fontId="44" fillId="4" borderId="5" xfId="0" applyFont="1" applyFill="1" applyBorder="1" applyAlignment="1">
      <alignment horizontal="right" vertical="center"/>
    </xf>
    <xf numFmtId="0" fontId="44" fillId="4" borderId="5" xfId="0" applyFont="1" applyFill="1" applyBorder="1" applyAlignment="1">
      <alignment vertical="center"/>
    </xf>
    <xf numFmtId="0" fontId="44" fillId="14" borderId="5" xfId="0" applyFont="1" applyFill="1" applyBorder="1" applyAlignment="1">
      <alignment horizontal="center" vertical="center"/>
    </xf>
    <xf numFmtId="49" fontId="44" fillId="14" borderId="5" xfId="0" applyNumberFormat="1" applyFont="1" applyFill="1" applyBorder="1" applyAlignment="1">
      <alignment horizontal="center" vertical="center"/>
    </xf>
    <xf numFmtId="0" fontId="44" fillId="14" borderId="5" xfId="0" applyFont="1" applyFill="1" applyBorder="1" applyAlignment="1">
      <alignment vertical="center"/>
    </xf>
    <xf numFmtId="0" fontId="44" fillId="14" borderId="5" xfId="0" applyFont="1" applyFill="1" applyBorder="1" applyAlignment="1">
      <alignment horizontal="left" vertical="center"/>
    </xf>
    <xf numFmtId="0" fontId="44" fillId="14" borderId="5" xfId="0" applyFont="1" applyFill="1" applyBorder="1">
      <alignment vertical="center"/>
    </xf>
    <xf numFmtId="0" fontId="44" fillId="14" borderId="5" xfId="0" applyFont="1" applyFill="1" applyBorder="1" applyAlignment="1">
      <alignment horizontal="right" vertical="center"/>
    </xf>
    <xf numFmtId="0" fontId="44" fillId="15" borderId="5" xfId="0" applyFont="1" applyFill="1" applyBorder="1" applyAlignment="1">
      <alignment horizontal="center" vertical="center"/>
    </xf>
    <xf numFmtId="49" fontId="44" fillId="15" borderId="5" xfId="0" applyNumberFormat="1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vertical="center"/>
    </xf>
    <xf numFmtId="0" fontId="44" fillId="15" borderId="5" xfId="0" applyFont="1" applyFill="1" applyBorder="1" applyAlignment="1">
      <alignment horizontal="left" vertical="center"/>
    </xf>
    <xf numFmtId="0" fontId="44" fillId="15" borderId="5" xfId="0" applyFont="1" applyFill="1" applyBorder="1">
      <alignment vertical="center"/>
    </xf>
    <xf numFmtId="0" fontId="44" fillId="15" borderId="5" xfId="0" applyFont="1" applyFill="1" applyBorder="1" applyAlignment="1">
      <alignment horizontal="right" vertical="center"/>
    </xf>
    <xf numFmtId="0" fontId="44" fillId="4" borderId="14" xfId="0" applyFont="1" applyFill="1" applyBorder="1" applyAlignment="1">
      <alignment horizontal="right" vertical="center"/>
    </xf>
    <xf numFmtId="0" fontId="43" fillId="7" borderId="5" xfId="26" applyFont="1" applyFill="1" applyBorder="1" applyAlignment="1">
      <alignment horizontal="center" vertical="center"/>
    </xf>
    <xf numFmtId="0" fontId="43" fillId="7" borderId="5" xfId="26" quotePrefix="1" applyFont="1" applyFill="1" applyBorder="1" applyAlignment="1">
      <alignment horizontal="center" vertical="center"/>
    </xf>
    <xf numFmtId="0" fontId="43" fillId="7" borderId="5" xfId="26" applyFont="1" applyFill="1" applyBorder="1" applyAlignment="1">
      <alignment vertical="center"/>
    </xf>
    <xf numFmtId="0" fontId="43" fillId="7" borderId="5" xfId="26" applyFont="1" applyFill="1" applyBorder="1" applyAlignment="1">
      <alignment horizontal="right" vertical="center" wrapText="1"/>
    </xf>
    <xf numFmtId="0" fontId="44" fillId="7" borderId="5" xfId="26" applyFont="1" applyFill="1" applyBorder="1" applyAlignment="1">
      <alignment horizontal="right" vertical="center"/>
    </xf>
    <xf numFmtId="0" fontId="44" fillId="2" borderId="15" xfId="26" applyFont="1" applyFill="1" applyBorder="1" applyAlignment="1">
      <alignment horizontal="left" vertical="center" indent="1"/>
    </xf>
    <xf numFmtId="0" fontId="44" fillId="2" borderId="14" xfId="26" applyFont="1" applyFill="1" applyBorder="1" applyAlignment="1">
      <alignment horizontal="left" vertical="center" indent="1"/>
    </xf>
    <xf numFmtId="0" fontId="44" fillId="0" borderId="5" xfId="26" applyFont="1" applyFill="1" applyBorder="1" applyAlignment="1">
      <alignment horizontal="center" vertical="center"/>
    </xf>
    <xf numFmtId="0" fontId="40" fillId="4" borderId="0" xfId="26" applyFont="1" applyFill="1" applyAlignment="1">
      <alignment vertical="center"/>
    </xf>
    <xf numFmtId="0" fontId="46" fillId="4" borderId="0" xfId="26" applyFont="1" applyFill="1" applyAlignment="1">
      <alignment horizontal="left" vertical="center"/>
    </xf>
    <xf numFmtId="0" fontId="46" fillId="4" borderId="0" xfId="26" applyFont="1" applyFill="1" applyAlignment="1">
      <alignment vertical="center"/>
    </xf>
    <xf numFmtId="0" fontId="46" fillId="4" borderId="0" xfId="26" applyFont="1" applyFill="1" applyAlignment="1">
      <alignment horizontal="right" vertical="center"/>
    </xf>
    <xf numFmtId="0" fontId="46" fillId="4" borderId="0" xfId="26" applyFont="1" applyFill="1" applyBorder="1" applyAlignment="1">
      <alignment horizontal="center" vertical="center"/>
    </xf>
    <xf numFmtId="0" fontId="46" fillId="4" borderId="0" xfId="26" applyFont="1" applyFill="1" applyBorder="1" applyAlignment="1">
      <alignment horizontal="right" vertical="center"/>
    </xf>
    <xf numFmtId="0" fontId="46" fillId="4" borderId="0" xfId="26" applyFont="1" applyFill="1" applyBorder="1" applyAlignment="1">
      <alignment vertical="center"/>
    </xf>
    <xf numFmtId="0" fontId="47" fillId="7" borderId="5" xfId="26" applyFont="1" applyFill="1" applyBorder="1" applyAlignment="1">
      <alignment horizontal="left" vertical="center" indent="1"/>
    </xf>
    <xf numFmtId="0" fontId="45" fillId="4" borderId="0" xfId="36" applyFont="1" applyFill="1" applyAlignment="1">
      <alignment horizontal="center" vertical="center"/>
    </xf>
    <xf numFmtId="0" fontId="45" fillId="4" borderId="0" xfId="36" applyFont="1" applyFill="1">
      <alignment vertical="center"/>
    </xf>
    <xf numFmtId="0" fontId="31" fillId="4" borderId="0" xfId="36" applyFont="1" applyFill="1">
      <alignment vertical="center"/>
    </xf>
    <xf numFmtId="0" fontId="45" fillId="4" borderId="0" xfId="36" applyFont="1" applyFill="1" applyAlignment="1">
      <alignment horizontal="right" vertical="center"/>
    </xf>
    <xf numFmtId="0" fontId="34" fillId="4" borderId="0" xfId="26" applyFont="1" applyFill="1" applyAlignment="1">
      <alignment horizontal="center" vertical="top"/>
    </xf>
    <xf numFmtId="0" fontId="36" fillId="4" borderId="0" xfId="26" applyFont="1" applyFill="1" applyBorder="1" applyAlignment="1">
      <alignment horizontal="left" vertical="center"/>
    </xf>
    <xf numFmtId="0" fontId="36" fillId="4" borderId="0" xfId="26" applyFont="1" applyFill="1" applyBorder="1" applyAlignment="1">
      <alignment horizontal="center" vertical="center"/>
    </xf>
    <xf numFmtId="0" fontId="36" fillId="4" borderId="0" xfId="26" applyFont="1" applyFill="1" applyBorder="1" applyAlignment="1">
      <alignment horizontal="center" vertical="top"/>
    </xf>
    <xf numFmtId="0" fontId="37" fillId="4" borderId="0" xfId="26" applyFont="1" applyFill="1" applyBorder="1" applyAlignment="1">
      <alignment horizontal="left" vertical="center"/>
    </xf>
    <xf numFmtId="0" fontId="38" fillId="4" borderId="4" xfId="26" applyFont="1" applyFill="1" applyBorder="1" applyAlignment="1">
      <alignment horizontal="right" vertical="center"/>
    </xf>
    <xf numFmtId="0" fontId="37" fillId="4" borderId="0" xfId="26" applyFont="1" applyFill="1" applyBorder="1" applyAlignment="1">
      <alignment horizontal="right" vertical="center"/>
    </xf>
    <xf numFmtId="0" fontId="37" fillId="4" borderId="0" xfId="26" applyFont="1" applyFill="1" applyBorder="1" applyAlignment="1">
      <alignment horizontal="center" vertical="center"/>
    </xf>
    <xf numFmtId="0" fontId="34" fillId="4" borderId="16" xfId="26" applyFont="1" applyFill="1" applyBorder="1" applyAlignment="1">
      <alignment horizontal="center" vertical="center"/>
    </xf>
    <xf numFmtId="0" fontId="34" fillId="4" borderId="16" xfId="26" applyFont="1" applyFill="1" applyBorder="1" applyAlignment="1">
      <alignment horizontal="center" vertical="top"/>
    </xf>
    <xf numFmtId="0" fontId="35" fillId="4" borderId="16" xfId="26" applyFont="1" applyFill="1" applyBorder="1" applyAlignment="1">
      <alignment vertical="center"/>
    </xf>
    <xf numFmtId="0" fontId="34" fillId="4" borderId="16" xfId="26" applyFont="1" applyFill="1" applyBorder="1" applyAlignment="1">
      <alignment horizontal="left" vertical="center"/>
    </xf>
    <xf numFmtId="0" fontId="34" fillId="4" borderId="16" xfId="26" applyFont="1" applyFill="1" applyBorder="1" applyAlignment="1">
      <alignment vertical="center"/>
    </xf>
    <xf numFmtId="0" fontId="34" fillId="4" borderId="16" xfId="26" applyFont="1" applyFill="1" applyBorder="1" applyAlignment="1">
      <alignment horizontal="right" vertical="center"/>
    </xf>
    <xf numFmtId="0" fontId="34" fillId="9" borderId="17" xfId="26" applyFont="1" applyFill="1" applyBorder="1" applyAlignment="1">
      <alignment horizontal="center" vertical="center"/>
    </xf>
    <xf numFmtId="0" fontId="34" fillId="16" borderId="17" xfId="26" applyFont="1" applyFill="1" applyBorder="1" applyAlignment="1">
      <alignment horizontal="center" vertical="center"/>
    </xf>
    <xf numFmtId="0" fontId="38" fillId="8" borderId="18" xfId="26" applyFont="1" applyFill="1" applyBorder="1" applyAlignment="1">
      <alignment horizontal="left" vertical="center"/>
    </xf>
    <xf numFmtId="0" fontId="48" fillId="0" borderId="5" xfId="0" applyFont="1" applyFill="1" applyBorder="1" applyAlignment="1">
      <alignment horizontal="center" vertical="center"/>
    </xf>
    <xf numFmtId="49" fontId="48" fillId="0" borderId="5" xfId="0" applyNumberFormat="1" applyFont="1" applyFill="1" applyBorder="1" applyAlignment="1">
      <alignment horizontal="center" vertical="center"/>
    </xf>
    <xf numFmtId="0" fontId="44" fillId="4" borderId="7" xfId="26" applyFont="1" applyFill="1" applyBorder="1" applyAlignment="1">
      <alignment horizontal="left" vertical="top"/>
    </xf>
    <xf numFmtId="0" fontId="44" fillId="0" borderId="5" xfId="0" applyFont="1" applyFill="1" applyBorder="1" applyAlignment="1">
      <alignment vertical="center" wrapText="1"/>
    </xf>
    <xf numFmtId="0" fontId="44" fillId="0" borderId="5" xfId="0" applyFont="1" applyFill="1" applyBorder="1" applyAlignment="1">
      <alignment horizontal="left" vertical="center"/>
    </xf>
    <xf numFmtId="0" fontId="48" fillId="0" borderId="5" xfId="0" applyFont="1" applyFill="1" applyBorder="1">
      <alignment vertical="center"/>
    </xf>
    <xf numFmtId="0" fontId="48" fillId="0" borderId="5" xfId="0" applyFont="1" applyFill="1" applyBorder="1" applyAlignment="1">
      <alignment horizontal="right" vertical="center"/>
    </xf>
    <xf numFmtId="0" fontId="48" fillId="3" borderId="5" xfId="0" applyFont="1" applyFill="1" applyBorder="1" applyAlignment="1">
      <alignment horizontal="center" vertical="center"/>
    </xf>
    <xf numFmtId="0" fontId="0" fillId="4" borderId="0" xfId="0" applyFont="1" applyFill="1">
      <alignment vertical="center"/>
    </xf>
    <xf numFmtId="0" fontId="44" fillId="0" borderId="7" xfId="0" applyFont="1" applyFill="1" applyBorder="1" applyAlignment="1">
      <alignment horizontal="left" vertical="top"/>
    </xf>
    <xf numFmtId="0" fontId="44" fillId="0" borderId="5" xfId="0" applyFont="1" applyFill="1" applyBorder="1" applyAlignment="1">
      <alignment vertical="center"/>
    </xf>
    <xf numFmtId="0" fontId="48" fillId="0" borderId="5" xfId="29" applyFont="1" applyFill="1" applyBorder="1" applyAlignment="1">
      <alignment horizontal="left" vertical="center"/>
    </xf>
    <xf numFmtId="0" fontId="44" fillId="0" borderId="5" xfId="0" applyFont="1" applyFill="1" applyBorder="1" applyAlignment="1">
      <alignment horizontal="left" vertical="top"/>
    </xf>
    <xf numFmtId="0" fontId="48" fillId="4" borderId="5" xfId="0" applyFont="1" applyFill="1" applyBorder="1" applyAlignment="1">
      <alignment horizontal="center" vertical="center"/>
    </xf>
    <xf numFmtId="49" fontId="48" fillId="4" borderId="5" xfId="0" applyNumberFormat="1" applyFont="1" applyFill="1" applyBorder="1" applyAlignment="1">
      <alignment horizontal="center" vertical="center"/>
    </xf>
    <xf numFmtId="0" fontId="48" fillId="4" borderId="5" xfId="0" applyFont="1" applyFill="1" applyBorder="1">
      <alignment vertical="center"/>
    </xf>
    <xf numFmtId="0" fontId="48" fillId="4" borderId="5" xfId="0" applyFont="1" applyFill="1" applyBorder="1" applyAlignment="1">
      <alignment horizontal="right" vertical="center"/>
    </xf>
    <xf numFmtId="0" fontId="43" fillId="7" borderId="5" xfId="26" applyFont="1" applyFill="1" applyBorder="1" applyAlignment="1">
      <alignment vertical="top"/>
    </xf>
    <xf numFmtId="0" fontId="44" fillId="7" borderId="5" xfId="26" applyFont="1" applyFill="1" applyBorder="1" applyAlignment="1">
      <alignment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ont="1" applyFill="1" applyAlignment="1">
      <alignment vertical="top"/>
    </xf>
    <xf numFmtId="0" fontId="0" fillId="4" borderId="0" xfId="0" applyFont="1" applyFill="1" applyAlignment="1">
      <alignment horizontal="right" vertical="center"/>
    </xf>
    <xf numFmtId="0" fontId="41" fillId="18" borderId="19" xfId="26" applyFont="1" applyFill="1" applyBorder="1" applyAlignment="1">
      <alignment horizontal="center" vertical="center"/>
    </xf>
    <xf numFmtId="0" fontId="41" fillId="18" borderId="17" xfId="26" applyFont="1" applyFill="1" applyBorder="1" applyAlignment="1">
      <alignment horizontal="center" vertical="center"/>
    </xf>
    <xf numFmtId="0" fontId="35" fillId="18" borderId="17" xfId="26" applyFont="1" applyFill="1" applyBorder="1" applyAlignment="1">
      <alignment horizontal="left" vertical="top"/>
    </xf>
    <xf numFmtId="0" fontId="34" fillId="18" borderId="17" xfId="26" applyFont="1" applyFill="1" applyBorder="1" applyAlignment="1">
      <alignment horizontal="center" vertical="center"/>
    </xf>
    <xf numFmtId="0" fontId="34" fillId="19" borderId="17" xfId="26" applyFont="1" applyFill="1" applyBorder="1" applyAlignment="1">
      <alignment horizontal="center" vertical="center"/>
    </xf>
    <xf numFmtId="0" fontId="34" fillId="20" borderId="17" xfId="26" applyFont="1" applyFill="1" applyBorder="1" applyAlignment="1">
      <alignment horizontal="center" vertical="center"/>
    </xf>
    <xf numFmtId="0" fontId="44" fillId="0" borderId="5" xfId="0" applyFont="1" applyFill="1" applyBorder="1" applyAlignment="1">
      <alignment horizontal="center" vertical="center"/>
    </xf>
    <xf numFmtId="0" fontId="39" fillId="5" borderId="20" xfId="26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left" vertical="center"/>
    </xf>
    <xf numFmtId="0" fontId="39" fillId="5" borderId="20" xfId="26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left" vertical="center"/>
    </xf>
    <xf numFmtId="0" fontId="44" fillId="4" borderId="7" xfId="0" applyFont="1" applyFill="1" applyBorder="1" applyAlignment="1">
      <alignment horizontal="left" vertical="center"/>
    </xf>
    <xf numFmtId="0" fontId="44" fillId="4" borderId="13" xfId="0" applyFont="1" applyFill="1" applyBorder="1" applyAlignment="1">
      <alignment horizontal="left" vertical="center"/>
    </xf>
    <xf numFmtId="0" fontId="44" fillId="4" borderId="5" xfId="0" applyFont="1" applyFill="1" applyBorder="1" applyAlignment="1">
      <alignment horizontal="left" vertical="center"/>
    </xf>
    <xf numFmtId="0" fontId="44" fillId="4" borderId="21" xfId="0" applyFont="1" applyFill="1" applyBorder="1" applyAlignment="1">
      <alignment horizontal="left" vertical="center"/>
    </xf>
    <xf numFmtId="0" fontId="44" fillId="4" borderId="7" xfId="0" applyFont="1" applyFill="1" applyBorder="1" applyAlignment="1">
      <alignment vertical="center"/>
    </xf>
    <xf numFmtId="0" fontId="44" fillId="4" borderId="13" xfId="0" applyFont="1" applyFill="1" applyBorder="1" applyAlignment="1">
      <alignment vertical="center"/>
    </xf>
    <xf numFmtId="0" fontId="44" fillId="4" borderId="21" xfId="0" applyFont="1" applyFill="1" applyBorder="1" applyAlignment="1">
      <alignment vertical="center"/>
    </xf>
    <xf numFmtId="0" fontId="44" fillId="0" borderId="21" xfId="36" applyFont="1" applyFill="1" applyBorder="1" applyAlignment="1">
      <alignment vertical="center"/>
    </xf>
    <xf numFmtId="0" fontId="44" fillId="4" borderId="27" xfId="0" applyFont="1" applyFill="1" applyBorder="1" applyAlignment="1">
      <alignment vertical="center"/>
    </xf>
    <xf numFmtId="0" fontId="44" fillId="4" borderId="28" xfId="0" applyFont="1" applyFill="1" applyBorder="1" applyAlignment="1">
      <alignment vertical="center"/>
    </xf>
    <xf numFmtId="0" fontId="44" fillId="4" borderId="3" xfId="0" applyFont="1" applyFill="1" applyBorder="1" applyAlignment="1">
      <alignment vertical="center"/>
    </xf>
    <xf numFmtId="0" fontId="23" fillId="5" borderId="5" xfId="26" applyFont="1" applyFill="1" applyBorder="1" applyAlignment="1">
      <alignment horizontal="center" vertical="center"/>
    </xf>
    <xf numFmtId="0" fontId="39" fillId="5" borderId="22" xfId="26" applyFont="1" applyFill="1" applyBorder="1" applyAlignment="1">
      <alignment horizontal="center" vertical="center"/>
    </xf>
    <xf numFmtId="0" fontId="39" fillId="5" borderId="21" xfId="26" applyFont="1" applyFill="1" applyBorder="1" applyAlignment="1">
      <alignment horizontal="center" vertical="center"/>
    </xf>
    <xf numFmtId="0" fontId="39" fillId="5" borderId="22" xfId="26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9" fillId="5" borderId="23" xfId="26" applyFont="1" applyFill="1" applyBorder="1" applyAlignment="1">
      <alignment horizontal="center" vertical="center"/>
    </xf>
    <xf numFmtId="0" fontId="39" fillId="5" borderId="24" xfId="26" applyFont="1" applyFill="1" applyBorder="1" applyAlignment="1">
      <alignment horizontal="center" vertical="center"/>
    </xf>
    <xf numFmtId="0" fontId="39" fillId="5" borderId="20" xfId="26" applyFont="1" applyFill="1" applyBorder="1" applyAlignment="1">
      <alignment horizontal="center" vertical="center"/>
    </xf>
    <xf numFmtId="0" fontId="39" fillId="5" borderId="25" xfId="26" applyFont="1" applyFill="1" applyBorder="1" applyAlignment="1">
      <alignment horizontal="center" vertical="center"/>
    </xf>
    <xf numFmtId="0" fontId="39" fillId="5" borderId="26" xfId="26" applyFont="1" applyFill="1" applyBorder="1" applyAlignment="1">
      <alignment horizontal="center" vertical="center"/>
    </xf>
    <xf numFmtId="0" fontId="39" fillId="5" borderId="12" xfId="26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vertical="center"/>
    </xf>
    <xf numFmtId="0" fontId="44" fillId="4" borderId="13" xfId="0" applyFont="1" applyFill="1" applyBorder="1" applyAlignment="1">
      <alignment vertical="center"/>
    </xf>
  </cellXfs>
  <cellStyles count="40">
    <cellStyle name="_EB-AD-99_현업요구사항추적표" xfId="1"/>
    <cellStyle name="_EW-AD-10_컨텐츠목록" xfId="2"/>
    <cellStyle name="AeE­ [0]_PERSONAL" xfId="3"/>
    <cellStyle name="AeE­_PERSONAL" xfId="4"/>
    <cellStyle name="ALIGNMENT" xfId="5"/>
    <cellStyle name="C￥AØ_PERSONAL" xfId="6"/>
    <cellStyle name="category" xfId="7"/>
    <cellStyle name="comma zerodec" xfId="8"/>
    <cellStyle name="Currency1" xfId="9"/>
    <cellStyle name="Dollar (zero dec)" xfId="10"/>
    <cellStyle name="Grey" xfId="11"/>
    <cellStyle name="HEADER" xfId="12"/>
    <cellStyle name="Header1" xfId="13"/>
    <cellStyle name="Header2" xfId="14"/>
    <cellStyle name="Hyperlink_NEGS" xfId="15"/>
    <cellStyle name="Input [yellow]" xfId="16"/>
    <cellStyle name="Model" xfId="17"/>
    <cellStyle name="Normal - Style1" xfId="18"/>
    <cellStyle name="Percent [2]" xfId="19"/>
    <cellStyle name="subhead" xfId="20"/>
    <cellStyle name="뒤에 오는 하이퍼링크_보고서목록" xfId="21"/>
    <cellStyle name="스타일 1" xfId="22"/>
    <cellStyle name="콤마 [0]_95" xfId="23"/>
    <cellStyle name="콤마_95" xfId="24"/>
    <cellStyle name="표준" xfId="0" builtinId="0"/>
    <cellStyle name="표준 10_Front-To be" xfId="25"/>
    <cellStyle name="표준 2" xfId="26"/>
    <cellStyle name="표준 2 2" xfId="27"/>
    <cellStyle name="표준 2 2 2" xfId="28"/>
    <cellStyle name="표준 2 2_03_IA(To be)_2009_03_18_V0.5" xfId="29"/>
    <cellStyle name="표준 2 3" xfId="30"/>
    <cellStyle name="표준 2 4" xfId="31"/>
    <cellStyle name="표준 2 5" xfId="32"/>
    <cellStyle name="표준 2 6" xfId="33"/>
    <cellStyle name="표준 2 7" xfId="34"/>
    <cellStyle name="표준 2 8" xfId="35"/>
    <cellStyle name="표준 3" xfId="36"/>
    <cellStyle name="표준 4" xfId="37"/>
    <cellStyle name="표준_QFWD3220-1 DefectTracking" xfId="38"/>
    <cellStyle name="하이퍼링크 2" xfId="3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zoomScaleNormal="100" workbookViewId="0">
      <selection activeCell="E14" sqref="E14"/>
    </sheetView>
  </sheetViews>
  <sheetFormatPr defaultColWidth="8" defaultRowHeight="12"/>
  <cols>
    <col min="1" max="1" width="4.375" style="38" bestFit="1" customWidth="1"/>
    <col min="2" max="2" width="6.125" style="21" bestFit="1" customWidth="1"/>
    <col min="3" max="3" width="9" style="21" bestFit="1" customWidth="1"/>
    <col min="4" max="4" width="46.625" style="21" customWidth="1"/>
    <col min="5" max="6" width="19" style="21" customWidth="1"/>
    <col min="7" max="16384" width="8" style="21"/>
  </cols>
  <sheetData>
    <row r="1" spans="1:8" ht="13.5">
      <c r="A1" s="19"/>
      <c r="B1" s="20"/>
      <c r="C1" s="20"/>
      <c r="D1" s="20"/>
      <c r="E1" s="20"/>
      <c r="F1" s="20"/>
    </row>
    <row r="2" spans="1:8" ht="42" customHeight="1" thickBot="1">
      <c r="A2" s="22" t="s">
        <v>57</v>
      </c>
      <c r="B2" s="23"/>
      <c r="C2" s="23"/>
      <c r="D2" s="23"/>
      <c r="E2" s="23"/>
      <c r="F2" s="23"/>
    </row>
    <row r="3" spans="1:8" ht="13.5">
      <c r="A3" s="19"/>
      <c r="B3" s="20"/>
      <c r="C3" s="20"/>
      <c r="D3" s="20"/>
      <c r="E3" s="20"/>
      <c r="F3" s="20"/>
    </row>
    <row r="4" spans="1:8" s="27" customFormat="1" ht="30" customHeight="1">
      <c r="A4" s="24" t="s">
        <v>58</v>
      </c>
      <c r="B4" s="25" t="s">
        <v>59</v>
      </c>
      <c r="C4" s="25" t="s">
        <v>60</v>
      </c>
      <c r="D4" s="25" t="s">
        <v>61</v>
      </c>
      <c r="E4" s="25" t="s">
        <v>62</v>
      </c>
      <c r="F4" s="26" t="s">
        <v>63</v>
      </c>
    </row>
    <row r="5" spans="1:8" s="27" customFormat="1" ht="20.100000000000001" customHeight="1">
      <c r="A5" s="28"/>
      <c r="B5" s="28"/>
      <c r="C5" s="29"/>
      <c r="D5" s="30"/>
      <c r="E5" s="28"/>
      <c r="F5" s="31"/>
      <c r="G5" s="32"/>
      <c r="H5" s="33"/>
    </row>
    <row r="6" spans="1:8" s="27" customFormat="1" ht="20.100000000000001" customHeight="1">
      <c r="A6" s="28"/>
      <c r="B6" s="28"/>
      <c r="C6" s="29"/>
      <c r="D6" s="30"/>
      <c r="E6" s="28"/>
      <c r="F6" s="31"/>
      <c r="G6" s="32"/>
      <c r="H6" s="33"/>
    </row>
    <row r="7" spans="1:8" s="27" customFormat="1" ht="20.100000000000001" customHeight="1">
      <c r="A7" s="28"/>
      <c r="B7" s="28"/>
      <c r="C7" s="29"/>
      <c r="D7" s="30"/>
      <c r="E7" s="28"/>
      <c r="F7" s="31"/>
      <c r="G7" s="32"/>
      <c r="H7" s="33"/>
    </row>
    <row r="8" spans="1:8" s="27" customFormat="1" ht="20.100000000000001" customHeight="1">
      <c r="A8" s="28"/>
      <c r="B8" s="28"/>
      <c r="C8" s="29"/>
      <c r="D8" s="30"/>
      <c r="E8" s="28"/>
      <c r="F8" s="31"/>
      <c r="G8" s="32"/>
      <c r="H8" s="33"/>
    </row>
    <row r="9" spans="1:8" s="27" customFormat="1" ht="20.100000000000001" customHeight="1">
      <c r="A9" s="28"/>
      <c r="B9" s="28"/>
      <c r="C9" s="29"/>
      <c r="D9" s="30"/>
      <c r="E9" s="28"/>
      <c r="F9" s="31"/>
      <c r="G9" s="32"/>
      <c r="H9" s="33"/>
    </row>
    <row r="10" spans="1:8" s="27" customFormat="1" ht="20.100000000000001" customHeight="1">
      <c r="A10" s="28"/>
      <c r="B10" s="34"/>
      <c r="C10" s="29"/>
      <c r="D10" s="35"/>
      <c r="E10" s="28"/>
      <c r="F10" s="28"/>
      <c r="G10" s="33"/>
      <c r="H10" s="33"/>
    </row>
    <row r="11" spans="1:8" s="27" customFormat="1" ht="20.100000000000001" customHeight="1">
      <c r="A11" s="28"/>
      <c r="B11" s="28"/>
      <c r="C11" s="29"/>
      <c r="D11" s="36"/>
      <c r="E11" s="28"/>
      <c r="F11" s="28"/>
      <c r="G11" s="33"/>
      <c r="H11" s="33"/>
    </row>
    <row r="12" spans="1:8" s="27" customFormat="1" ht="20.100000000000001" customHeight="1">
      <c r="A12" s="28"/>
      <c r="B12" s="28"/>
      <c r="C12" s="29"/>
      <c r="D12" s="36"/>
      <c r="E12" s="28"/>
      <c r="F12" s="28"/>
      <c r="G12" s="33"/>
      <c r="H12" s="33"/>
    </row>
    <row r="13" spans="1:8" s="27" customFormat="1" ht="20.100000000000001" customHeight="1">
      <c r="A13" s="28"/>
      <c r="B13" s="34"/>
      <c r="C13" s="29"/>
      <c r="D13" s="35"/>
      <c r="E13" s="28"/>
      <c r="F13" s="28"/>
      <c r="G13" s="33"/>
      <c r="H13" s="33"/>
    </row>
    <row r="14" spans="1:8" s="27" customFormat="1" ht="20.100000000000001" customHeight="1">
      <c r="A14" s="28"/>
      <c r="B14" s="28"/>
      <c r="C14" s="29"/>
      <c r="D14" s="36"/>
      <c r="E14" s="28"/>
      <c r="F14" s="28"/>
      <c r="G14" s="33"/>
      <c r="H14" s="33"/>
    </row>
    <row r="15" spans="1:8" s="27" customFormat="1" ht="20.100000000000001" customHeight="1">
      <c r="A15" s="28"/>
      <c r="B15" s="28"/>
      <c r="C15" s="29"/>
      <c r="D15" s="37"/>
      <c r="E15" s="28"/>
      <c r="F15" s="28"/>
      <c r="G15" s="33"/>
      <c r="H15" s="33"/>
    </row>
    <row r="16" spans="1:8" s="27" customFormat="1" ht="20.100000000000001" customHeight="1">
      <c r="A16" s="28"/>
      <c r="B16" s="28"/>
      <c r="C16" s="29"/>
      <c r="D16" s="35"/>
      <c r="E16" s="28"/>
      <c r="F16" s="28"/>
      <c r="G16" s="33"/>
      <c r="H16" s="33"/>
    </row>
    <row r="17" spans="1:8" s="27" customFormat="1" ht="20.100000000000001" customHeight="1">
      <c r="A17" s="28"/>
      <c r="B17" s="28"/>
      <c r="C17" s="29"/>
      <c r="D17" s="36"/>
      <c r="E17" s="28"/>
      <c r="F17" s="28"/>
      <c r="G17" s="33"/>
      <c r="H17" s="33"/>
    </row>
    <row r="18" spans="1:8" s="27" customFormat="1" ht="20.100000000000001" customHeight="1">
      <c r="A18" s="28"/>
      <c r="B18" s="28"/>
      <c r="C18" s="29"/>
      <c r="D18" s="37"/>
      <c r="E18" s="28"/>
      <c r="F18" s="28"/>
      <c r="G18" s="33"/>
      <c r="H18" s="33"/>
    </row>
    <row r="19" spans="1:8">
      <c r="G19" s="38"/>
      <c r="H19" s="38"/>
    </row>
  </sheetData>
  <phoneticPr fontId="28" type="noConversion"/>
  <pageMargins left="0.74803149606299213" right="0.74803149606299213" top="0.78740157480314965" bottom="0.78740157480314965" header="0.51181102362204722" footer="0.51181102362204722"/>
  <pageSetup paperSize="9" scale="9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showGridLines="0" zoomScale="115" zoomScaleNormal="115" workbookViewId="0">
      <selection activeCell="H16" sqref="H16"/>
    </sheetView>
  </sheetViews>
  <sheetFormatPr defaultRowHeight="13.5"/>
  <cols>
    <col min="1" max="1" width="2.5" style="1" customWidth="1"/>
    <col min="2" max="2" width="9" style="1"/>
    <col min="3" max="3" width="30.625" style="1" customWidth="1"/>
    <col min="4" max="4" width="3.625" style="1" customWidth="1"/>
    <col min="5" max="5" width="9" style="1"/>
    <col min="6" max="6" width="30.625" style="1" customWidth="1"/>
    <col min="7" max="16384" width="9" style="1"/>
  </cols>
  <sheetData>
    <row r="1" spans="2:6" s="4" customFormat="1" ht="12" customHeight="1">
      <c r="B1" s="2"/>
      <c r="C1" s="3"/>
    </row>
    <row r="2" spans="2:6" s="4" customFormat="1" ht="38.25" customHeight="1" thickBot="1">
      <c r="B2" s="5" t="s">
        <v>5</v>
      </c>
      <c r="C2" s="5"/>
      <c r="E2" s="5" t="s">
        <v>64</v>
      </c>
      <c r="F2" s="5"/>
    </row>
    <row r="3" spans="2:6" s="4" customFormat="1" ht="12" customHeight="1">
      <c r="B3" s="2"/>
      <c r="C3" s="3"/>
      <c r="E3" s="2"/>
      <c r="F3" s="3"/>
    </row>
    <row r="4" spans="2:6" s="6" customFormat="1" ht="18" customHeight="1">
      <c r="B4" s="189" t="s">
        <v>34</v>
      </c>
      <c r="C4" s="189" t="s">
        <v>35</v>
      </c>
      <c r="E4" s="189" t="s">
        <v>34</v>
      </c>
      <c r="F4" s="189" t="s">
        <v>35</v>
      </c>
    </row>
    <row r="5" spans="2:6" s="6" customFormat="1" ht="19.5" customHeight="1">
      <c r="B5" s="189"/>
      <c r="C5" s="189"/>
      <c r="E5" s="189"/>
      <c r="F5" s="189"/>
    </row>
    <row r="6" spans="2:6" s="7" customFormat="1" ht="15.95" customHeight="1">
      <c r="B6" s="17" t="s">
        <v>6</v>
      </c>
      <c r="C6" s="18" t="s">
        <v>7</v>
      </c>
      <c r="E6" s="39" t="s">
        <v>106</v>
      </c>
      <c r="F6" s="40" t="s">
        <v>3</v>
      </c>
    </row>
    <row r="7" spans="2:6" s="8" customFormat="1" ht="15.95" customHeight="1">
      <c r="B7" s="15" t="s">
        <v>33</v>
      </c>
      <c r="C7" s="10" t="s">
        <v>107</v>
      </c>
      <c r="E7" s="15" t="s">
        <v>66</v>
      </c>
      <c r="F7" s="10" t="s">
        <v>103</v>
      </c>
    </row>
    <row r="8" spans="2:6" s="8" customFormat="1" ht="15.95" customHeight="1">
      <c r="B8" s="15" t="s">
        <v>36</v>
      </c>
      <c r="C8" s="11" t="s">
        <v>108</v>
      </c>
      <c r="E8" s="15" t="s">
        <v>67</v>
      </c>
      <c r="F8" s="11" t="s">
        <v>104</v>
      </c>
    </row>
    <row r="9" spans="2:6" s="8" customFormat="1" ht="15.95" customHeight="1">
      <c r="B9" s="16" t="s">
        <v>37</v>
      </c>
      <c r="C9" s="10" t="s">
        <v>109</v>
      </c>
      <c r="E9" s="15" t="s">
        <v>65</v>
      </c>
      <c r="F9" s="10" t="s">
        <v>105</v>
      </c>
    </row>
    <row r="10" spans="2:6" s="8" customFormat="1" ht="15.95" customHeight="1">
      <c r="B10" s="16" t="s">
        <v>11</v>
      </c>
      <c r="C10" s="10" t="s">
        <v>110</v>
      </c>
      <c r="E10" s="16"/>
      <c r="F10" s="10"/>
    </row>
    <row r="11" spans="2:6" s="8" customFormat="1" ht="15.95" customHeight="1">
      <c r="B11" s="16" t="s">
        <v>38</v>
      </c>
      <c r="C11" s="10" t="s">
        <v>111</v>
      </c>
      <c r="E11" s="16"/>
      <c r="F11" s="10"/>
    </row>
    <row r="12" spans="2:6" s="8" customFormat="1" ht="15.95" customHeight="1">
      <c r="B12" s="16" t="s">
        <v>10</v>
      </c>
      <c r="C12" s="10" t="s">
        <v>112</v>
      </c>
      <c r="E12" s="16"/>
      <c r="F12" s="13"/>
    </row>
    <row r="13" spans="2:6" s="8" customFormat="1" ht="15.95" customHeight="1">
      <c r="B13" s="16" t="s">
        <v>28</v>
      </c>
      <c r="C13" s="10" t="s">
        <v>113</v>
      </c>
      <c r="E13" s="16"/>
      <c r="F13" s="10"/>
    </row>
    <row r="14" spans="2:6" s="8" customFormat="1" ht="15.95" customHeight="1">
      <c r="B14" s="16" t="s">
        <v>8</v>
      </c>
      <c r="C14" s="10" t="s">
        <v>116</v>
      </c>
      <c r="E14" s="16"/>
      <c r="F14" s="10"/>
    </row>
    <row r="15" spans="2:6" s="8" customFormat="1" ht="15.95" customHeight="1">
      <c r="B15" s="16" t="s">
        <v>9</v>
      </c>
      <c r="C15" s="10" t="s">
        <v>4</v>
      </c>
      <c r="E15" s="16"/>
      <c r="F15" s="10"/>
    </row>
    <row r="16" spans="2:6" s="8" customFormat="1" ht="15.95" customHeight="1">
      <c r="B16" s="16" t="s">
        <v>32</v>
      </c>
      <c r="C16" s="10" t="s">
        <v>114</v>
      </c>
      <c r="E16" s="16"/>
      <c r="F16" s="10"/>
    </row>
    <row r="17" spans="2:6" s="8" customFormat="1" ht="15.95" customHeight="1">
      <c r="B17" s="16" t="s">
        <v>12</v>
      </c>
      <c r="C17" s="10" t="s">
        <v>27</v>
      </c>
      <c r="E17" s="16"/>
      <c r="F17" s="10"/>
    </row>
    <row r="18" spans="2:6" s="8" customFormat="1" ht="15.95" customHeight="1">
      <c r="B18" s="16" t="s">
        <v>56</v>
      </c>
      <c r="C18" s="10" t="s">
        <v>115</v>
      </c>
      <c r="E18" s="16"/>
      <c r="F18" s="10"/>
    </row>
    <row r="19" spans="2:6" s="8" customFormat="1" ht="15.95" customHeight="1">
      <c r="B19" s="16" t="s">
        <v>40</v>
      </c>
      <c r="C19" s="10" t="s">
        <v>39</v>
      </c>
      <c r="E19" s="16"/>
      <c r="F19" s="10"/>
    </row>
    <row r="20" spans="2:6" s="9" customFormat="1" ht="24" customHeight="1">
      <c r="B20" s="12"/>
      <c r="C20" s="14"/>
      <c r="E20" s="12"/>
      <c r="F20" s="14"/>
    </row>
  </sheetData>
  <mergeCells count="4">
    <mergeCell ref="B4:B5"/>
    <mergeCell ref="C4:C5"/>
    <mergeCell ref="E4:E5"/>
    <mergeCell ref="F4:F5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V40"/>
  <sheetViews>
    <sheetView showGridLines="0" tabSelected="1" defaultGridColor="0" colorId="23" zoomScale="90" zoomScaleNormal="90" workbookViewId="0">
      <pane ySplit="5" topLeftCell="A6" activePane="bottomLeft" state="frozen"/>
      <selection activeCell="D1" sqref="D1"/>
      <selection pane="bottomLeft" activeCell="C37" sqref="C37"/>
    </sheetView>
  </sheetViews>
  <sheetFormatPr defaultRowHeight="16.5"/>
  <cols>
    <col min="1" max="1" width="7" style="124" customWidth="1"/>
    <col min="2" max="2" width="7.5" style="124" customWidth="1"/>
    <col min="3" max="3" width="16" style="125" bestFit="1" customWidth="1"/>
    <col min="4" max="4" width="25.125" style="125" bestFit="1" customWidth="1"/>
    <col min="5" max="5" width="29.375" style="125" bestFit="1" customWidth="1"/>
    <col min="6" max="6" width="25.125" style="125" bestFit="1" customWidth="1"/>
    <col min="7" max="7" width="34" style="126" customWidth="1"/>
    <col min="8" max="11" width="5.625" style="127" customWidth="1"/>
    <col min="12" max="14" width="5.625" style="125" customWidth="1"/>
    <col min="15" max="18" width="6.625" style="127" customWidth="1"/>
    <col min="19" max="19" width="6.625" style="125" customWidth="1"/>
    <col min="20" max="20" width="8.75" style="125" customWidth="1"/>
    <col min="21" max="21" width="24.25" style="127" customWidth="1"/>
    <col min="22" max="22" width="18.875" style="125" customWidth="1"/>
    <col min="23" max="16384" width="9" style="125"/>
  </cols>
  <sheetData>
    <row r="1" spans="1:22" s="47" customFormat="1" ht="12" customHeight="1">
      <c r="A1" s="41"/>
      <c r="B1" s="41"/>
      <c r="C1" s="41"/>
      <c r="D1" s="42"/>
      <c r="E1" s="43"/>
      <c r="F1" s="44"/>
      <c r="G1" s="44"/>
      <c r="H1" s="45"/>
      <c r="I1" s="45"/>
      <c r="J1" s="46"/>
      <c r="K1" s="45"/>
      <c r="L1" s="41"/>
      <c r="M1" s="41"/>
      <c r="N1" s="41"/>
      <c r="O1" s="45"/>
      <c r="P1" s="45"/>
      <c r="Q1" s="45"/>
      <c r="R1" s="45"/>
      <c r="S1" s="41"/>
      <c r="T1" s="41"/>
      <c r="U1" s="45"/>
      <c r="V1" s="41"/>
    </row>
    <row r="2" spans="1:22" s="47" customFormat="1" ht="38.25" customHeight="1" thickBot="1">
      <c r="A2" s="48" t="s">
        <v>41</v>
      </c>
      <c r="B2" s="49"/>
      <c r="C2" s="49"/>
      <c r="D2" s="48"/>
      <c r="E2" s="48"/>
      <c r="F2" s="50"/>
      <c r="G2" s="51"/>
      <c r="H2" s="52"/>
      <c r="I2" s="52"/>
      <c r="J2" s="52"/>
      <c r="K2" s="52"/>
      <c r="L2" s="53"/>
      <c r="M2" s="53"/>
      <c r="N2" s="53"/>
      <c r="O2" s="54"/>
      <c r="P2" s="54"/>
      <c r="Q2" s="54"/>
      <c r="R2" s="54"/>
      <c r="S2" s="53"/>
      <c r="T2" s="53"/>
      <c r="U2" s="54"/>
    </row>
    <row r="3" spans="1:22" s="47" customFormat="1" ht="12" customHeight="1">
      <c r="A3" s="55"/>
      <c r="B3" s="55"/>
      <c r="C3" s="55"/>
      <c r="D3" s="56"/>
      <c r="E3" s="57"/>
      <c r="H3" s="58"/>
      <c r="I3" s="58"/>
      <c r="J3" s="59"/>
      <c r="K3" s="58"/>
      <c r="L3" s="55"/>
      <c r="M3" s="55"/>
      <c r="N3" s="55"/>
      <c r="O3" s="58"/>
      <c r="P3" s="58"/>
      <c r="Q3" s="58"/>
      <c r="R3" s="58"/>
      <c r="S3" s="55"/>
      <c r="T3" s="55"/>
      <c r="U3" s="58"/>
    </row>
    <row r="4" spans="1:22" s="61" customFormat="1" ht="30" customHeight="1">
      <c r="A4" s="199" t="s">
        <v>68</v>
      </c>
      <c r="B4" s="199"/>
      <c r="C4" s="190" t="s">
        <v>13</v>
      </c>
      <c r="D4" s="190" t="s">
        <v>14</v>
      </c>
      <c r="E4" s="190" t="s">
        <v>15</v>
      </c>
      <c r="F4" s="190" t="s">
        <v>120</v>
      </c>
      <c r="G4" s="190" t="s">
        <v>121</v>
      </c>
      <c r="H4" s="196" t="s">
        <v>69</v>
      </c>
      <c r="I4" s="197"/>
      <c r="J4" s="197"/>
      <c r="K4" s="198"/>
      <c r="L4" s="196" t="s">
        <v>30</v>
      </c>
      <c r="M4" s="197"/>
      <c r="N4" s="198"/>
      <c r="O4" s="196" t="s">
        <v>31</v>
      </c>
      <c r="P4" s="197"/>
      <c r="Q4" s="197"/>
      <c r="R4" s="198"/>
      <c r="S4" s="192" t="s">
        <v>122</v>
      </c>
      <c r="T4" s="192" t="s">
        <v>126</v>
      </c>
      <c r="U4" s="194" t="s">
        <v>118</v>
      </c>
    </row>
    <row r="5" spans="1:22" s="67" customFormat="1" ht="15.95" customHeight="1">
      <c r="A5" s="62" t="s">
        <v>16</v>
      </c>
      <c r="B5" s="62" t="s">
        <v>17</v>
      </c>
      <c r="C5" s="191"/>
      <c r="D5" s="191"/>
      <c r="E5" s="191"/>
      <c r="F5" s="191"/>
      <c r="G5" s="191"/>
      <c r="H5" s="63" t="s">
        <v>29</v>
      </c>
      <c r="I5" s="64" t="s">
        <v>128</v>
      </c>
      <c r="J5" s="64" t="s">
        <v>42</v>
      </c>
      <c r="K5" s="64" t="s">
        <v>43</v>
      </c>
      <c r="L5" s="65" t="s">
        <v>70</v>
      </c>
      <c r="M5" s="65" t="s">
        <v>71</v>
      </c>
      <c r="N5" s="65" t="s">
        <v>72</v>
      </c>
      <c r="O5" s="66" t="s">
        <v>44</v>
      </c>
      <c r="P5" s="66" t="s">
        <v>45</v>
      </c>
      <c r="Q5" s="66" t="s">
        <v>46</v>
      </c>
      <c r="R5" s="66" t="s">
        <v>47</v>
      </c>
      <c r="S5" s="193"/>
      <c r="T5" s="193"/>
      <c r="U5" s="195"/>
    </row>
    <row r="6" spans="1:22" s="74" customFormat="1" ht="14.25" customHeight="1">
      <c r="A6" s="68" t="s">
        <v>1</v>
      </c>
      <c r="B6" s="69" t="s">
        <v>2</v>
      </c>
      <c r="C6" s="70" t="s">
        <v>3</v>
      </c>
      <c r="D6" s="71"/>
      <c r="E6" s="71"/>
      <c r="F6" s="71"/>
      <c r="G6" s="72"/>
      <c r="H6" s="73"/>
      <c r="I6" s="73">
        <v>1</v>
      </c>
      <c r="J6" s="73"/>
      <c r="K6" s="73"/>
      <c r="L6" s="72">
        <v>1</v>
      </c>
      <c r="M6" s="72"/>
      <c r="N6" s="72"/>
      <c r="O6" s="73"/>
      <c r="P6" s="73"/>
      <c r="Q6" s="73"/>
      <c r="R6" s="73"/>
      <c r="S6" s="72"/>
      <c r="T6" s="72"/>
      <c r="U6" s="86"/>
    </row>
    <row r="7" spans="1:22" s="74" customFormat="1" ht="14.25" customHeight="1">
      <c r="A7" s="75" t="s">
        <v>48</v>
      </c>
      <c r="B7" s="76" t="s">
        <v>2</v>
      </c>
      <c r="C7" s="77" t="s">
        <v>130</v>
      </c>
      <c r="D7" s="77" t="s">
        <v>49</v>
      </c>
      <c r="E7" s="77"/>
      <c r="F7" s="77"/>
      <c r="G7" s="78"/>
      <c r="H7" s="79"/>
      <c r="I7" s="79">
        <v>1</v>
      </c>
      <c r="J7" s="79"/>
      <c r="K7" s="79">
        <v>1</v>
      </c>
      <c r="L7" s="78">
        <v>1</v>
      </c>
      <c r="M7" s="78"/>
      <c r="N7" s="78"/>
      <c r="O7" s="79">
        <v>1</v>
      </c>
      <c r="P7" s="79"/>
      <c r="Q7" s="79">
        <v>1</v>
      </c>
      <c r="R7" s="79"/>
      <c r="S7" s="75" t="s">
        <v>124</v>
      </c>
      <c r="T7" s="75"/>
      <c r="U7" s="87"/>
    </row>
    <row r="8" spans="1:22" s="74" customFormat="1" ht="14.25" customHeight="1">
      <c r="A8" s="80" t="s">
        <v>48</v>
      </c>
      <c r="B8" s="81" t="s">
        <v>18</v>
      </c>
      <c r="C8" s="83"/>
      <c r="D8" s="83" t="s">
        <v>131</v>
      </c>
      <c r="E8" s="84"/>
      <c r="F8" s="84"/>
      <c r="G8" s="85"/>
      <c r="H8" s="86">
        <v>1</v>
      </c>
      <c r="I8" s="86">
        <v>1</v>
      </c>
      <c r="J8" s="86"/>
      <c r="K8" s="86"/>
      <c r="L8" s="85">
        <v>1</v>
      </c>
      <c r="M8" s="85"/>
      <c r="N8" s="85"/>
      <c r="O8" s="86">
        <v>1</v>
      </c>
      <c r="P8" s="86"/>
      <c r="Q8" s="86">
        <v>1</v>
      </c>
      <c r="R8" s="86"/>
      <c r="S8" s="87" t="s">
        <v>123</v>
      </c>
      <c r="T8" s="87"/>
      <c r="U8" s="87"/>
    </row>
    <row r="9" spans="1:22" s="74" customFormat="1" ht="14.25" customHeight="1">
      <c r="A9" s="80" t="s">
        <v>48</v>
      </c>
      <c r="B9" s="81" t="s">
        <v>19</v>
      </c>
      <c r="C9" s="82"/>
      <c r="D9" s="83" t="s">
        <v>131</v>
      </c>
      <c r="E9" s="84"/>
      <c r="F9" s="84"/>
      <c r="G9" s="85"/>
      <c r="H9" s="86">
        <v>1</v>
      </c>
      <c r="I9" s="86">
        <v>1</v>
      </c>
      <c r="J9" s="86"/>
      <c r="K9" s="86"/>
      <c r="L9" s="85">
        <v>1</v>
      </c>
      <c r="M9" s="85"/>
      <c r="N9" s="85"/>
      <c r="O9" s="86">
        <v>1</v>
      </c>
      <c r="P9" s="86"/>
      <c r="Q9" s="86">
        <v>1</v>
      </c>
      <c r="R9" s="86"/>
      <c r="S9" s="87"/>
      <c r="T9" s="87"/>
      <c r="U9" s="87"/>
    </row>
    <row r="10" spans="1:22" s="74" customFormat="1" ht="14.25" customHeight="1">
      <c r="A10" s="80" t="s">
        <v>48</v>
      </c>
      <c r="B10" s="81" t="s">
        <v>20</v>
      </c>
      <c r="C10" s="82"/>
      <c r="D10" s="83" t="s">
        <v>131</v>
      </c>
      <c r="E10" s="83" t="s">
        <v>131</v>
      </c>
      <c r="F10" s="84"/>
      <c r="G10" s="85"/>
      <c r="H10" s="86">
        <v>1</v>
      </c>
      <c r="I10" s="86">
        <v>1</v>
      </c>
      <c r="J10" s="86"/>
      <c r="K10" s="86"/>
      <c r="L10" s="85">
        <v>1</v>
      </c>
      <c r="M10" s="85"/>
      <c r="N10" s="85"/>
      <c r="O10" s="86">
        <v>1</v>
      </c>
      <c r="P10" s="86"/>
      <c r="Q10" s="86">
        <v>1</v>
      </c>
      <c r="R10" s="86"/>
      <c r="S10" s="87"/>
      <c r="T10" s="87"/>
      <c r="U10" s="87"/>
    </row>
    <row r="11" spans="1:22" s="74" customFormat="1" ht="14.25" customHeight="1">
      <c r="A11" s="80" t="s">
        <v>48</v>
      </c>
      <c r="B11" s="81" t="s">
        <v>21</v>
      </c>
      <c r="C11" s="82"/>
      <c r="D11" s="185"/>
      <c r="E11" s="83" t="s">
        <v>131</v>
      </c>
      <c r="F11" s="84"/>
      <c r="G11" s="85"/>
      <c r="H11" s="86">
        <v>1</v>
      </c>
      <c r="I11" s="86">
        <v>1</v>
      </c>
      <c r="J11" s="86"/>
      <c r="K11" s="86"/>
      <c r="L11" s="85">
        <v>1</v>
      </c>
      <c r="M11" s="85"/>
      <c r="N11" s="85"/>
      <c r="O11" s="86">
        <v>1</v>
      </c>
      <c r="P11" s="86"/>
      <c r="Q11" s="86">
        <v>1</v>
      </c>
      <c r="R11" s="86"/>
      <c r="S11" s="87"/>
      <c r="T11" s="87"/>
      <c r="U11" s="87"/>
    </row>
    <row r="12" spans="1:22" s="74" customFormat="1" ht="14.25" customHeight="1">
      <c r="A12" s="80" t="s">
        <v>48</v>
      </c>
      <c r="B12" s="81" t="s">
        <v>22</v>
      </c>
      <c r="C12" s="185"/>
      <c r="D12" s="83" t="s">
        <v>131</v>
      </c>
      <c r="E12" s="84"/>
      <c r="F12" s="84"/>
      <c r="G12" s="85"/>
      <c r="H12" s="86">
        <v>1</v>
      </c>
      <c r="I12" s="86">
        <v>1</v>
      </c>
      <c r="J12" s="86"/>
      <c r="K12" s="86"/>
      <c r="L12" s="85">
        <v>1</v>
      </c>
      <c r="M12" s="85"/>
      <c r="N12" s="85"/>
      <c r="O12" s="86">
        <v>1</v>
      </c>
      <c r="P12" s="86"/>
      <c r="Q12" s="86">
        <v>1</v>
      </c>
      <c r="R12" s="86"/>
      <c r="S12" s="87"/>
      <c r="T12" s="87"/>
      <c r="U12" s="87"/>
    </row>
    <row r="13" spans="1:22" s="74" customFormat="1" ht="14.25" customHeight="1">
      <c r="A13" s="88" t="s">
        <v>53</v>
      </c>
      <c r="B13" s="89" t="s">
        <v>18</v>
      </c>
      <c r="C13" s="200"/>
      <c r="D13" s="94" t="s">
        <v>129</v>
      </c>
      <c r="E13" s="94"/>
      <c r="F13" s="94"/>
      <c r="G13" s="91"/>
      <c r="H13" s="93"/>
      <c r="I13" s="93">
        <v>1</v>
      </c>
      <c r="J13" s="93"/>
      <c r="K13" s="93"/>
      <c r="L13" s="91">
        <v>1</v>
      </c>
      <c r="M13" s="91"/>
      <c r="N13" s="91"/>
      <c r="O13" s="93">
        <v>1</v>
      </c>
      <c r="P13" s="93"/>
      <c r="Q13" s="93"/>
      <c r="R13" s="93">
        <v>1</v>
      </c>
      <c r="S13" s="91"/>
      <c r="T13" s="91"/>
      <c r="U13" s="87"/>
    </row>
    <row r="14" spans="1:22" s="74" customFormat="1" ht="14.25" customHeight="1">
      <c r="A14" s="88" t="s">
        <v>53</v>
      </c>
      <c r="B14" s="89" t="s">
        <v>19</v>
      </c>
      <c r="C14" s="201"/>
      <c r="D14" s="94" t="s">
        <v>129</v>
      </c>
      <c r="E14" s="94"/>
      <c r="F14" s="94"/>
      <c r="G14" s="91"/>
      <c r="H14" s="93"/>
      <c r="I14" s="93">
        <v>1</v>
      </c>
      <c r="J14" s="93"/>
      <c r="K14" s="93"/>
      <c r="L14" s="91">
        <v>1</v>
      </c>
      <c r="M14" s="91"/>
      <c r="N14" s="91"/>
      <c r="O14" s="93">
        <v>1</v>
      </c>
      <c r="P14" s="93"/>
      <c r="Q14" s="93"/>
      <c r="R14" s="93">
        <v>1</v>
      </c>
      <c r="S14" s="91"/>
      <c r="T14" s="91"/>
      <c r="U14" s="87"/>
    </row>
    <row r="15" spans="1:22" s="74" customFormat="1" ht="14.25" customHeight="1">
      <c r="A15" s="88" t="s">
        <v>53</v>
      </c>
      <c r="B15" s="89" t="s">
        <v>20</v>
      </c>
      <c r="C15" s="201"/>
      <c r="D15" s="182" t="s">
        <v>132</v>
      </c>
      <c r="E15" s="94" t="s">
        <v>129</v>
      </c>
      <c r="F15" s="94"/>
      <c r="G15" s="91"/>
      <c r="H15" s="93"/>
      <c r="I15" s="93">
        <v>1</v>
      </c>
      <c r="J15" s="93"/>
      <c r="K15" s="93"/>
      <c r="L15" s="91"/>
      <c r="M15" s="91"/>
      <c r="N15" s="91">
        <v>1</v>
      </c>
      <c r="O15" s="93">
        <v>1</v>
      </c>
      <c r="P15" s="93"/>
      <c r="Q15" s="93"/>
      <c r="R15" s="93">
        <v>1</v>
      </c>
      <c r="S15" s="91"/>
      <c r="T15" s="91"/>
      <c r="U15" s="87"/>
    </row>
    <row r="16" spans="1:22" s="74" customFormat="1" ht="14.25" customHeight="1">
      <c r="A16" s="88" t="s">
        <v>53</v>
      </c>
      <c r="B16" s="89" t="s">
        <v>21</v>
      </c>
      <c r="C16" s="201"/>
      <c r="D16" s="186"/>
      <c r="E16" s="94" t="s">
        <v>129</v>
      </c>
      <c r="F16" s="94"/>
      <c r="G16" s="91"/>
      <c r="H16" s="93"/>
      <c r="I16" s="93">
        <v>1</v>
      </c>
      <c r="J16" s="93"/>
      <c r="K16" s="93"/>
      <c r="L16" s="91"/>
      <c r="M16" s="91"/>
      <c r="N16" s="91">
        <v>1</v>
      </c>
      <c r="O16" s="93">
        <v>1</v>
      </c>
      <c r="P16" s="93"/>
      <c r="Q16" s="93"/>
      <c r="R16" s="93">
        <v>1</v>
      </c>
      <c r="S16" s="91"/>
      <c r="T16" s="91"/>
      <c r="U16" s="87"/>
    </row>
    <row r="17" spans="1:21" s="74" customFormat="1" ht="14.25" customHeight="1">
      <c r="A17" s="95" t="s">
        <v>10</v>
      </c>
      <c r="B17" s="96" t="s">
        <v>2</v>
      </c>
      <c r="C17" s="97" t="s">
        <v>129</v>
      </c>
      <c r="D17" s="98" t="s">
        <v>129</v>
      </c>
      <c r="E17" s="98"/>
      <c r="F17" s="98"/>
      <c r="G17" s="99"/>
      <c r="H17" s="100"/>
      <c r="I17" s="100"/>
      <c r="J17" s="100">
        <v>1</v>
      </c>
      <c r="K17" s="100"/>
      <c r="L17" s="99"/>
      <c r="M17" s="99">
        <v>1</v>
      </c>
      <c r="N17" s="99"/>
      <c r="O17" s="100">
        <v>1</v>
      </c>
      <c r="P17" s="100"/>
      <c r="Q17" s="100"/>
      <c r="R17" s="100"/>
      <c r="S17" s="99"/>
      <c r="T17" s="99"/>
      <c r="U17" s="173"/>
    </row>
    <row r="18" spans="1:21" s="74" customFormat="1" ht="14.25" customHeight="1">
      <c r="A18" s="88" t="s">
        <v>54</v>
      </c>
      <c r="B18" s="89" t="s">
        <v>18</v>
      </c>
      <c r="C18" s="90"/>
      <c r="D18" s="182" t="s">
        <v>129</v>
      </c>
      <c r="E18" s="180" t="s">
        <v>129</v>
      </c>
      <c r="F18" s="92"/>
      <c r="G18" s="94"/>
      <c r="H18" s="93"/>
      <c r="I18" s="93"/>
      <c r="J18" s="93">
        <v>1</v>
      </c>
      <c r="K18" s="93"/>
      <c r="L18" s="91"/>
      <c r="M18" s="91">
        <v>1</v>
      </c>
      <c r="N18" s="91"/>
      <c r="O18" s="93">
        <v>1</v>
      </c>
      <c r="P18" s="93"/>
      <c r="Q18" s="93"/>
      <c r="R18" s="93"/>
      <c r="S18" s="91"/>
      <c r="T18" s="91"/>
      <c r="U18" s="87"/>
    </row>
    <row r="19" spans="1:21" s="74" customFormat="1" ht="14.25" customHeight="1">
      <c r="A19" s="88" t="s">
        <v>54</v>
      </c>
      <c r="B19" s="89" t="s">
        <v>19</v>
      </c>
      <c r="C19" s="90"/>
      <c r="D19" s="183"/>
      <c r="E19" s="180" t="s">
        <v>129</v>
      </c>
      <c r="F19" s="92"/>
      <c r="G19" s="94"/>
      <c r="H19" s="93"/>
      <c r="I19" s="93"/>
      <c r="J19" s="93">
        <v>1</v>
      </c>
      <c r="K19" s="93"/>
      <c r="L19" s="91"/>
      <c r="M19" s="91">
        <v>1</v>
      </c>
      <c r="N19" s="91"/>
      <c r="O19" s="93">
        <v>1</v>
      </c>
      <c r="P19" s="93"/>
      <c r="Q19" s="93"/>
      <c r="R19" s="93"/>
      <c r="S19" s="91"/>
      <c r="T19" s="91"/>
      <c r="U19" s="87"/>
    </row>
    <row r="20" spans="1:21" s="74" customFormat="1" ht="14.25" customHeight="1">
      <c r="A20" s="88" t="s">
        <v>54</v>
      </c>
      <c r="B20" s="89" t="s">
        <v>20</v>
      </c>
      <c r="C20" s="90"/>
      <c r="D20" s="183"/>
      <c r="E20" s="180" t="s">
        <v>129</v>
      </c>
      <c r="F20" s="92"/>
      <c r="G20" s="94"/>
      <c r="H20" s="93"/>
      <c r="I20" s="93"/>
      <c r="J20" s="93">
        <v>1</v>
      </c>
      <c r="K20" s="93"/>
      <c r="L20" s="91"/>
      <c r="M20" s="91">
        <v>1</v>
      </c>
      <c r="N20" s="91"/>
      <c r="O20" s="93">
        <v>1</v>
      </c>
      <c r="P20" s="93"/>
      <c r="Q20" s="93"/>
      <c r="R20" s="93"/>
      <c r="S20" s="91"/>
      <c r="T20" s="91"/>
      <c r="U20" s="87"/>
    </row>
    <row r="21" spans="1:21" s="74" customFormat="1" ht="14.25" customHeight="1">
      <c r="A21" s="88" t="s">
        <v>54</v>
      </c>
      <c r="B21" s="89" t="s">
        <v>21</v>
      </c>
      <c r="C21" s="90"/>
      <c r="D21" s="183"/>
      <c r="E21" s="180" t="s">
        <v>129</v>
      </c>
      <c r="F21" s="92"/>
      <c r="G21" s="94"/>
      <c r="H21" s="93"/>
      <c r="I21" s="93"/>
      <c r="J21" s="93">
        <v>1</v>
      </c>
      <c r="K21" s="93"/>
      <c r="L21" s="91"/>
      <c r="M21" s="91">
        <v>1</v>
      </c>
      <c r="N21" s="91"/>
      <c r="O21" s="93">
        <v>1</v>
      </c>
      <c r="P21" s="93"/>
      <c r="Q21" s="93"/>
      <c r="R21" s="93"/>
      <c r="S21" s="91"/>
      <c r="T21" s="91"/>
      <c r="U21" s="87"/>
    </row>
    <row r="22" spans="1:21" s="74" customFormat="1" ht="14.25" customHeight="1">
      <c r="A22" s="88" t="s">
        <v>54</v>
      </c>
      <c r="B22" s="89" t="s">
        <v>22</v>
      </c>
      <c r="C22" s="90"/>
      <c r="D22" s="184"/>
      <c r="E22" s="180" t="s">
        <v>129</v>
      </c>
      <c r="F22" s="92"/>
      <c r="G22" s="94"/>
      <c r="H22" s="93"/>
      <c r="I22" s="93"/>
      <c r="J22" s="93">
        <v>1</v>
      </c>
      <c r="K22" s="93"/>
      <c r="L22" s="91"/>
      <c r="M22" s="91">
        <v>1</v>
      </c>
      <c r="N22" s="91"/>
      <c r="O22" s="93">
        <v>1</v>
      </c>
      <c r="P22" s="93"/>
      <c r="Q22" s="93"/>
      <c r="R22" s="93"/>
      <c r="S22" s="91"/>
      <c r="T22" s="91"/>
      <c r="U22" s="87"/>
    </row>
    <row r="23" spans="1:21" s="74" customFormat="1" ht="14.25" customHeight="1">
      <c r="A23" s="101" t="s">
        <v>55</v>
      </c>
      <c r="B23" s="102" t="s">
        <v>2</v>
      </c>
      <c r="C23" s="103" t="s">
        <v>129</v>
      </c>
      <c r="D23" s="104" t="s">
        <v>49</v>
      </c>
      <c r="E23" s="103"/>
      <c r="F23" s="104"/>
      <c r="G23" s="105"/>
      <c r="H23" s="106"/>
      <c r="I23" s="106"/>
      <c r="J23" s="106">
        <v>1</v>
      </c>
      <c r="K23" s="106"/>
      <c r="L23" s="105"/>
      <c r="M23" s="105"/>
      <c r="N23" s="105">
        <v>1</v>
      </c>
      <c r="O23" s="106">
        <v>1</v>
      </c>
      <c r="P23" s="106"/>
      <c r="Q23" s="106"/>
      <c r="R23" s="106"/>
      <c r="S23" s="105"/>
      <c r="T23" s="105"/>
      <c r="U23" s="173"/>
    </row>
    <row r="24" spans="1:21" s="74" customFormat="1" ht="14.25" customHeight="1">
      <c r="A24" s="88" t="s">
        <v>55</v>
      </c>
      <c r="B24" s="89" t="s">
        <v>0</v>
      </c>
      <c r="C24" s="90"/>
      <c r="D24" s="182" t="s">
        <v>131</v>
      </c>
      <c r="E24" s="182" t="s">
        <v>129</v>
      </c>
      <c r="F24" s="180" t="s">
        <v>129</v>
      </c>
      <c r="G24" s="94"/>
      <c r="H24" s="93"/>
      <c r="I24" s="93"/>
      <c r="J24" s="93">
        <v>1</v>
      </c>
      <c r="K24" s="93"/>
      <c r="L24" s="91">
        <v>1</v>
      </c>
      <c r="M24" s="91"/>
      <c r="N24" s="91"/>
      <c r="O24" s="93">
        <v>1</v>
      </c>
      <c r="P24" s="93"/>
      <c r="Q24" s="93"/>
      <c r="R24" s="93"/>
      <c r="S24" s="91"/>
      <c r="T24" s="91"/>
      <c r="U24" s="87"/>
    </row>
    <row r="25" spans="1:21" s="74" customFormat="1" ht="14.25" customHeight="1">
      <c r="A25" s="88" t="s">
        <v>55</v>
      </c>
      <c r="B25" s="89" t="s">
        <v>19</v>
      </c>
      <c r="C25" s="90"/>
      <c r="D25" s="183"/>
      <c r="E25" s="179"/>
      <c r="F25" s="180" t="s">
        <v>129</v>
      </c>
      <c r="G25" s="94"/>
      <c r="H25" s="93">
        <v>1</v>
      </c>
      <c r="I25" s="93"/>
      <c r="J25" s="93">
        <v>1</v>
      </c>
      <c r="K25" s="93"/>
      <c r="L25" s="91">
        <v>1</v>
      </c>
      <c r="M25" s="91"/>
      <c r="N25" s="91"/>
      <c r="O25" s="93">
        <v>1</v>
      </c>
      <c r="P25" s="93"/>
      <c r="Q25" s="93"/>
      <c r="R25" s="93"/>
      <c r="S25" s="91"/>
      <c r="T25" s="91"/>
      <c r="U25" s="87"/>
    </row>
    <row r="26" spans="1:21" s="74" customFormat="1" ht="14.25" customHeight="1">
      <c r="A26" s="88" t="s">
        <v>55</v>
      </c>
      <c r="B26" s="89" t="s">
        <v>20</v>
      </c>
      <c r="C26" s="90"/>
      <c r="D26" s="183"/>
      <c r="E26" s="181"/>
      <c r="F26" s="180" t="s">
        <v>129</v>
      </c>
      <c r="G26" s="94"/>
      <c r="H26" s="93"/>
      <c r="I26" s="93"/>
      <c r="J26" s="93">
        <v>1</v>
      </c>
      <c r="K26" s="93"/>
      <c r="L26" s="91"/>
      <c r="M26" s="91"/>
      <c r="N26" s="91">
        <v>1</v>
      </c>
      <c r="O26" s="93">
        <v>1</v>
      </c>
      <c r="P26" s="93"/>
      <c r="Q26" s="93"/>
      <c r="R26" s="93"/>
      <c r="S26" s="91"/>
      <c r="T26" s="91"/>
      <c r="U26" s="87"/>
    </row>
    <row r="27" spans="1:21" s="74" customFormat="1" ht="14.25" customHeight="1">
      <c r="A27" s="88" t="s">
        <v>55</v>
      </c>
      <c r="B27" s="89" t="s">
        <v>21</v>
      </c>
      <c r="C27" s="90"/>
      <c r="D27" s="183"/>
      <c r="E27" s="178" t="s">
        <v>129</v>
      </c>
      <c r="F27" s="180" t="s">
        <v>129</v>
      </c>
      <c r="G27" s="94"/>
      <c r="H27" s="93"/>
      <c r="I27" s="93"/>
      <c r="J27" s="93">
        <v>1</v>
      </c>
      <c r="K27" s="93"/>
      <c r="L27" s="91">
        <v>1</v>
      </c>
      <c r="M27" s="91"/>
      <c r="N27" s="91"/>
      <c r="O27" s="93">
        <v>1</v>
      </c>
      <c r="P27" s="93"/>
      <c r="Q27" s="93"/>
      <c r="R27" s="93"/>
      <c r="S27" s="91"/>
      <c r="T27" s="91"/>
      <c r="U27" s="87"/>
    </row>
    <row r="28" spans="1:21" s="74" customFormat="1" ht="14.25" customHeight="1">
      <c r="A28" s="88" t="s">
        <v>55</v>
      </c>
      <c r="B28" s="89" t="s">
        <v>22</v>
      </c>
      <c r="C28" s="90"/>
      <c r="D28" s="183"/>
      <c r="E28" s="179"/>
      <c r="F28" s="180" t="s">
        <v>129</v>
      </c>
      <c r="G28" s="94"/>
      <c r="H28" s="93"/>
      <c r="I28" s="93"/>
      <c r="J28" s="93">
        <v>1</v>
      </c>
      <c r="K28" s="93"/>
      <c r="L28" s="91">
        <v>1</v>
      </c>
      <c r="M28" s="91"/>
      <c r="N28" s="91"/>
      <c r="O28" s="93">
        <v>1</v>
      </c>
      <c r="P28" s="93"/>
      <c r="Q28" s="93"/>
      <c r="R28" s="93"/>
      <c r="S28" s="91"/>
      <c r="T28" s="91"/>
      <c r="U28" s="87"/>
    </row>
    <row r="29" spans="1:21" s="74" customFormat="1" ht="14.25" customHeight="1">
      <c r="A29" s="88" t="s">
        <v>55</v>
      </c>
      <c r="B29" s="89" t="s">
        <v>23</v>
      </c>
      <c r="C29" s="90"/>
      <c r="D29" s="183"/>
      <c r="E29" s="181"/>
      <c r="F29" s="180" t="s">
        <v>129</v>
      </c>
      <c r="G29" s="187"/>
      <c r="H29" s="93"/>
      <c r="I29" s="93"/>
      <c r="J29" s="93">
        <v>1</v>
      </c>
      <c r="K29" s="93"/>
      <c r="L29" s="91">
        <v>1</v>
      </c>
      <c r="M29" s="91"/>
      <c r="N29" s="91"/>
      <c r="O29" s="93">
        <v>1</v>
      </c>
      <c r="P29" s="93"/>
      <c r="Q29" s="93"/>
      <c r="R29" s="93"/>
      <c r="S29" s="91"/>
      <c r="T29" s="91"/>
      <c r="U29" s="87"/>
    </row>
    <row r="30" spans="1:21" s="74" customFormat="1" ht="14.25" customHeight="1">
      <c r="A30" s="88" t="s">
        <v>55</v>
      </c>
      <c r="B30" s="89" t="s">
        <v>24</v>
      </c>
      <c r="C30" s="90"/>
      <c r="D30" s="183"/>
      <c r="E30" s="178" t="s">
        <v>129</v>
      </c>
      <c r="F30" s="180" t="s">
        <v>129</v>
      </c>
      <c r="G30" s="188"/>
      <c r="H30" s="107"/>
      <c r="I30" s="93"/>
      <c r="J30" s="93">
        <v>1</v>
      </c>
      <c r="K30" s="93"/>
      <c r="L30" s="91">
        <v>1</v>
      </c>
      <c r="M30" s="91"/>
      <c r="N30" s="91"/>
      <c r="O30" s="93">
        <v>1</v>
      </c>
      <c r="P30" s="93"/>
      <c r="Q30" s="93"/>
      <c r="R30" s="93">
        <v>1</v>
      </c>
      <c r="S30" s="91"/>
      <c r="T30" s="91"/>
      <c r="U30" s="87"/>
    </row>
    <row r="31" spans="1:21" s="74" customFormat="1" ht="14.25" customHeight="1">
      <c r="A31" s="88" t="s">
        <v>55</v>
      </c>
      <c r="B31" s="89" t="s">
        <v>25</v>
      </c>
      <c r="C31" s="90"/>
      <c r="D31" s="183"/>
      <c r="E31" s="179"/>
      <c r="F31" s="180" t="s">
        <v>129</v>
      </c>
      <c r="G31" s="188"/>
      <c r="H31" s="107"/>
      <c r="I31" s="93"/>
      <c r="J31" s="93">
        <v>1</v>
      </c>
      <c r="K31" s="93"/>
      <c r="L31" s="91">
        <v>1</v>
      </c>
      <c r="M31" s="91"/>
      <c r="N31" s="91"/>
      <c r="O31" s="93">
        <v>1</v>
      </c>
      <c r="P31" s="93"/>
      <c r="Q31" s="93"/>
      <c r="R31" s="93">
        <v>1</v>
      </c>
      <c r="S31" s="91"/>
      <c r="T31" s="91"/>
      <c r="U31" s="87"/>
    </row>
    <row r="32" spans="1:21" s="74" customFormat="1" ht="14.25" customHeight="1">
      <c r="A32" s="88" t="s">
        <v>55</v>
      </c>
      <c r="B32" s="89" t="s">
        <v>26</v>
      </c>
      <c r="C32" s="90"/>
      <c r="D32" s="184"/>
      <c r="E32" s="181"/>
      <c r="F32" s="180" t="s">
        <v>129</v>
      </c>
      <c r="G32" s="188"/>
      <c r="H32" s="107"/>
      <c r="I32" s="93"/>
      <c r="J32" s="93">
        <v>1</v>
      </c>
      <c r="K32" s="93"/>
      <c r="L32" s="91">
        <v>1</v>
      </c>
      <c r="M32" s="91"/>
      <c r="N32" s="91"/>
      <c r="O32" s="93">
        <v>1</v>
      </c>
      <c r="P32" s="93"/>
      <c r="Q32" s="93"/>
      <c r="R32" s="93">
        <v>1</v>
      </c>
      <c r="S32" s="91"/>
      <c r="T32" s="91"/>
      <c r="U32" s="87"/>
    </row>
    <row r="33" spans="1:21" s="47" customFormat="1" ht="30" customHeight="1">
      <c r="A33" s="108"/>
      <c r="B33" s="109"/>
      <c r="C33" s="110"/>
      <c r="D33" s="110"/>
      <c r="E33" s="110"/>
      <c r="F33" s="110"/>
      <c r="G33" s="108"/>
      <c r="H33" s="111">
        <f t="shared" ref="H33:R33" si="0">SUM(H5:H32)</f>
        <v>6</v>
      </c>
      <c r="I33" s="111">
        <f t="shared" si="0"/>
        <v>11</v>
      </c>
      <c r="J33" s="111">
        <f t="shared" si="0"/>
        <v>16</v>
      </c>
      <c r="K33" s="111">
        <f t="shared" si="0"/>
        <v>1</v>
      </c>
      <c r="L33" s="111">
        <f t="shared" si="0"/>
        <v>17</v>
      </c>
      <c r="M33" s="111">
        <f t="shared" si="0"/>
        <v>6</v>
      </c>
      <c r="N33" s="111">
        <f t="shared" si="0"/>
        <v>4</v>
      </c>
      <c r="O33" s="111">
        <f t="shared" si="0"/>
        <v>26</v>
      </c>
      <c r="P33" s="111">
        <f t="shared" si="0"/>
        <v>0</v>
      </c>
      <c r="Q33" s="111">
        <f t="shared" si="0"/>
        <v>6</v>
      </c>
      <c r="R33" s="111">
        <f t="shared" si="0"/>
        <v>7</v>
      </c>
      <c r="S33" s="111"/>
      <c r="T33" s="111"/>
      <c r="U33" s="112"/>
    </row>
    <row r="34" spans="1:21" s="47" customFormat="1" ht="15.95" customHeight="1">
      <c r="A34" s="41"/>
      <c r="B34" s="41"/>
      <c r="C34" s="41"/>
      <c r="D34" s="42"/>
      <c r="E34" s="43"/>
      <c r="F34" s="44"/>
      <c r="G34" s="44"/>
      <c r="H34" s="45"/>
      <c r="I34" s="45"/>
      <c r="J34" s="45"/>
      <c r="K34" s="45"/>
      <c r="L34" s="41"/>
      <c r="M34" s="41"/>
      <c r="N34" s="41"/>
      <c r="O34" s="45"/>
      <c r="P34" s="45"/>
      <c r="Q34" s="45"/>
      <c r="R34" s="45"/>
      <c r="S34" s="41"/>
      <c r="T34" s="41"/>
      <c r="U34" s="45"/>
    </row>
    <row r="35" spans="1:21" s="47" customFormat="1" ht="20.100000000000001" customHeight="1">
      <c r="A35" s="113" t="s">
        <v>50</v>
      </c>
      <c r="B35" s="114"/>
      <c r="C35" s="115">
        <f>H33</f>
        <v>6</v>
      </c>
      <c r="D35" s="58"/>
      <c r="E35" s="43"/>
      <c r="F35" s="44"/>
      <c r="G35" s="44"/>
      <c r="H35" s="45"/>
      <c r="I35" s="45"/>
      <c r="J35" s="45"/>
      <c r="K35" s="45"/>
      <c r="L35" s="55"/>
      <c r="M35" s="58"/>
      <c r="N35" s="58"/>
      <c r="O35" s="45"/>
      <c r="P35" s="45"/>
      <c r="Q35" s="45"/>
      <c r="R35" s="127"/>
      <c r="S35" s="58"/>
      <c r="T35" s="58"/>
      <c r="U35" s="127"/>
    </row>
    <row r="36" spans="1:21" s="47" customFormat="1" ht="20.100000000000001" customHeight="1">
      <c r="A36" s="113" t="s">
        <v>128</v>
      </c>
      <c r="B36" s="114"/>
      <c r="C36" s="115">
        <f>I33</f>
        <v>11</v>
      </c>
      <c r="D36" s="58"/>
      <c r="E36" s="43"/>
      <c r="F36" s="44"/>
      <c r="G36" s="44"/>
      <c r="H36" s="45"/>
      <c r="I36" s="45"/>
      <c r="J36" s="45"/>
      <c r="K36" s="45"/>
      <c r="L36" s="55"/>
      <c r="M36" s="58"/>
      <c r="N36" s="58"/>
      <c r="O36" s="45"/>
      <c r="P36" s="45"/>
      <c r="Q36" s="45"/>
      <c r="R36" s="127"/>
      <c r="S36" s="58"/>
      <c r="T36" s="58"/>
      <c r="U36" s="127"/>
    </row>
    <row r="37" spans="1:21" s="122" customFormat="1" ht="20.100000000000001" customHeight="1">
      <c r="A37" s="113" t="s">
        <v>42</v>
      </c>
      <c r="B37" s="114"/>
      <c r="C37" s="115">
        <f>J33</f>
        <v>16</v>
      </c>
      <c r="D37" s="116"/>
      <c r="E37" s="117"/>
      <c r="F37" s="118"/>
      <c r="G37" s="44"/>
      <c r="H37" s="119"/>
      <c r="I37" s="119"/>
      <c r="J37" s="119"/>
      <c r="K37" s="119"/>
      <c r="L37" s="120"/>
      <c r="M37" s="121"/>
      <c r="N37" s="121"/>
      <c r="O37" s="119"/>
      <c r="P37" s="119"/>
      <c r="Q37" s="119"/>
      <c r="R37" s="127"/>
      <c r="S37" s="121"/>
      <c r="T37" s="121"/>
      <c r="U37" s="127"/>
    </row>
    <row r="38" spans="1:21" s="47" customFormat="1" ht="20.100000000000001" customHeight="1">
      <c r="A38" s="113" t="s">
        <v>51</v>
      </c>
      <c r="B38" s="114"/>
      <c r="C38" s="115">
        <f>K33</f>
        <v>1</v>
      </c>
      <c r="D38" s="58"/>
      <c r="E38" s="43"/>
      <c r="F38" s="44"/>
      <c r="G38" s="118"/>
      <c r="H38" s="45"/>
      <c r="I38" s="45"/>
      <c r="J38" s="45"/>
      <c r="K38" s="45"/>
      <c r="L38" s="55"/>
      <c r="M38" s="58"/>
      <c r="N38" s="58"/>
      <c r="O38" s="45"/>
      <c r="P38" s="45"/>
      <c r="Q38" s="45"/>
      <c r="R38" s="127"/>
      <c r="S38" s="58"/>
      <c r="T38" s="58"/>
      <c r="U38" s="127"/>
    </row>
    <row r="39" spans="1:21" s="47" customFormat="1" ht="20.100000000000001" customHeight="1">
      <c r="A39" s="113" t="s">
        <v>52</v>
      </c>
      <c r="B39" s="114"/>
      <c r="C39" s="115">
        <f>SUM(C35:C37)</f>
        <v>33</v>
      </c>
      <c r="D39" s="58"/>
      <c r="E39" s="43"/>
      <c r="F39" s="44"/>
      <c r="G39" s="44"/>
      <c r="H39" s="45"/>
      <c r="I39" s="45"/>
      <c r="J39" s="45"/>
      <c r="K39" s="45"/>
      <c r="L39" s="55"/>
      <c r="M39" s="58"/>
      <c r="N39" s="58"/>
      <c r="O39" s="45"/>
      <c r="P39" s="45"/>
      <c r="Q39" s="45"/>
      <c r="R39" s="127"/>
      <c r="S39" s="58"/>
      <c r="T39" s="58"/>
      <c r="U39" s="127"/>
    </row>
    <row r="40" spans="1:21" s="122" customFormat="1" ht="24.95" customHeight="1">
      <c r="A40" s="123" t="s">
        <v>73</v>
      </c>
      <c r="B40" s="123"/>
      <c r="C40" s="115">
        <f>SUM(C35:C38)</f>
        <v>34</v>
      </c>
      <c r="D40" s="116"/>
      <c r="E40" s="117"/>
      <c r="F40" s="118"/>
      <c r="G40" s="44"/>
      <c r="H40" s="119"/>
      <c r="I40" s="119"/>
      <c r="J40" s="119"/>
      <c r="K40" s="119"/>
      <c r="L40" s="120"/>
      <c r="M40" s="121"/>
      <c r="N40" s="121"/>
      <c r="O40" s="119"/>
      <c r="P40" s="119"/>
      <c r="Q40" s="119"/>
      <c r="R40" s="127"/>
      <c r="S40" s="121"/>
      <c r="T40" s="121"/>
      <c r="U40" s="127"/>
    </row>
  </sheetData>
  <mergeCells count="13">
    <mergeCell ref="A4:B4"/>
    <mergeCell ref="C4:C5"/>
    <mergeCell ref="D4:D5"/>
    <mergeCell ref="C13:C16"/>
    <mergeCell ref="E4:E5"/>
    <mergeCell ref="F4:F5"/>
    <mergeCell ref="G4:G5"/>
    <mergeCell ref="S4:S5"/>
    <mergeCell ref="U4:U5"/>
    <mergeCell ref="H4:K4"/>
    <mergeCell ref="L4:N4"/>
    <mergeCell ref="O4:R4"/>
    <mergeCell ref="T4:T5"/>
  </mergeCells>
  <phoneticPr fontId="27" type="noConversion"/>
  <printOptions horizontalCentered="1"/>
  <pageMargins left="0.31496062992125984" right="0.31496062992125984" top="0.19685039370078741" bottom="0.19685039370078741" header="0.19685039370078741" footer="0.15748031496062992"/>
  <pageSetup paperSize="9" scale="50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Q20"/>
  <sheetViews>
    <sheetView zoomScale="90" zoomScaleNormal="90" workbookViewId="0">
      <pane ySplit="5" topLeftCell="A6" activePane="bottomLeft" state="frozen"/>
      <selection pane="bottomLeft" activeCell="C19" sqref="C19"/>
    </sheetView>
  </sheetViews>
  <sheetFormatPr defaultRowHeight="16.5"/>
  <cols>
    <col min="1" max="1" width="7" style="164" customWidth="1"/>
    <col min="2" max="2" width="7.5" style="164" customWidth="1"/>
    <col min="3" max="3" width="15.625" style="165" customWidth="1"/>
    <col min="4" max="4" width="20.625" style="153" customWidth="1"/>
    <col min="5" max="5" width="28.625" style="153" customWidth="1"/>
    <col min="6" max="6" width="22.625" style="153" customWidth="1"/>
    <col min="7" max="7" width="34.25" style="153" customWidth="1"/>
    <col min="8" max="10" width="5.625" style="166" customWidth="1"/>
    <col min="11" max="15" width="6.625" style="166" customWidth="1"/>
    <col min="16" max="16" width="14.625" style="153" customWidth="1"/>
    <col min="17" max="17" width="44.75" style="153" customWidth="1"/>
    <col min="18" max="16384" width="9" style="153"/>
  </cols>
  <sheetData>
    <row r="1" spans="1:17" s="47" customFormat="1" ht="12" customHeight="1">
      <c r="A1" s="41"/>
      <c r="B1" s="41"/>
      <c r="C1" s="128"/>
      <c r="D1" s="42"/>
      <c r="E1" s="43"/>
      <c r="F1" s="44"/>
      <c r="G1" s="44"/>
      <c r="H1" s="45"/>
      <c r="I1" s="45"/>
      <c r="J1" s="45"/>
      <c r="K1" s="45"/>
      <c r="L1" s="45"/>
      <c r="M1" s="45"/>
      <c r="N1" s="45"/>
      <c r="O1" s="45"/>
      <c r="P1" s="44"/>
      <c r="Q1" s="41"/>
    </row>
    <row r="2" spans="1:17" s="47" customFormat="1" ht="38.25" customHeight="1" thickBot="1">
      <c r="A2" s="129" t="s">
        <v>119</v>
      </c>
      <c r="B2" s="130"/>
      <c r="C2" s="131"/>
      <c r="D2" s="129"/>
      <c r="E2" s="129"/>
      <c r="F2" s="132"/>
      <c r="G2" s="132"/>
      <c r="H2" s="133"/>
      <c r="I2" s="133"/>
      <c r="J2" s="133"/>
      <c r="K2" s="134"/>
      <c r="L2" s="134"/>
      <c r="M2" s="134"/>
      <c r="N2" s="134"/>
      <c r="O2" s="134"/>
      <c r="P2" s="132"/>
      <c r="Q2" s="135"/>
    </row>
    <row r="3" spans="1:17" s="47" customFormat="1" ht="12" customHeight="1">
      <c r="A3" s="136"/>
      <c r="B3" s="136"/>
      <c r="C3" s="137"/>
      <c r="D3" s="138"/>
      <c r="E3" s="139"/>
      <c r="F3" s="140"/>
      <c r="G3" s="140"/>
      <c r="H3" s="141"/>
      <c r="I3" s="141"/>
      <c r="J3" s="141"/>
      <c r="K3" s="141"/>
      <c r="L3" s="141"/>
      <c r="M3" s="141"/>
      <c r="N3" s="141"/>
      <c r="O3" s="141"/>
      <c r="P3" s="140"/>
      <c r="Q3" s="136"/>
    </row>
    <row r="4" spans="1:17" s="61" customFormat="1" ht="30" customHeight="1">
      <c r="A4" s="199" t="s">
        <v>74</v>
      </c>
      <c r="B4" s="199"/>
      <c r="C4" s="60" t="s">
        <v>75</v>
      </c>
      <c r="D4" s="60" t="s">
        <v>76</v>
      </c>
      <c r="E4" s="60" t="s">
        <v>77</v>
      </c>
      <c r="F4" s="60" t="s">
        <v>78</v>
      </c>
      <c r="G4" s="174" t="s">
        <v>125</v>
      </c>
      <c r="H4" s="196" t="s">
        <v>79</v>
      </c>
      <c r="I4" s="197"/>
      <c r="J4" s="198"/>
      <c r="K4" s="196" t="s">
        <v>80</v>
      </c>
      <c r="L4" s="197"/>
      <c r="M4" s="197"/>
      <c r="N4" s="197"/>
      <c r="O4" s="197"/>
      <c r="P4" s="176" t="s">
        <v>127</v>
      </c>
      <c r="Q4" s="60" t="s">
        <v>81</v>
      </c>
    </row>
    <row r="5" spans="1:17" s="67" customFormat="1" ht="15.95" customHeight="1">
      <c r="A5" s="167" t="s">
        <v>82</v>
      </c>
      <c r="B5" s="168" t="s">
        <v>83</v>
      </c>
      <c r="C5" s="169"/>
      <c r="D5" s="170"/>
      <c r="E5" s="170"/>
      <c r="F5" s="170"/>
      <c r="G5" s="170"/>
      <c r="H5" s="171" t="s">
        <v>84</v>
      </c>
      <c r="I5" s="172" t="s">
        <v>117</v>
      </c>
      <c r="J5" s="142" t="s">
        <v>128</v>
      </c>
      <c r="K5" s="143" t="s">
        <v>85</v>
      </c>
      <c r="L5" s="143" t="s">
        <v>86</v>
      </c>
      <c r="M5" s="143" t="s">
        <v>87</v>
      </c>
      <c r="N5" s="143" t="s">
        <v>88</v>
      </c>
      <c r="O5" s="143" t="s">
        <v>89</v>
      </c>
      <c r="P5" s="170"/>
      <c r="Q5" s="144"/>
    </row>
    <row r="6" spans="1:17">
      <c r="A6" s="145" t="s">
        <v>90</v>
      </c>
      <c r="B6" s="146"/>
      <c r="C6" s="147" t="s">
        <v>91</v>
      </c>
      <c r="D6" s="148"/>
      <c r="E6" s="149"/>
      <c r="F6" s="149"/>
      <c r="G6" s="149"/>
      <c r="H6" s="151">
        <v>1</v>
      </c>
      <c r="I6" s="151">
        <v>1</v>
      </c>
      <c r="J6" s="151">
        <v>1</v>
      </c>
      <c r="K6" s="152" t="s">
        <v>92</v>
      </c>
      <c r="L6" s="152" t="s">
        <v>92</v>
      </c>
      <c r="M6" s="145" t="s">
        <v>92</v>
      </c>
      <c r="N6" s="145" t="s">
        <v>92</v>
      </c>
      <c r="O6" s="145" t="s">
        <v>92</v>
      </c>
      <c r="P6" s="149"/>
      <c r="Q6" s="150"/>
    </row>
    <row r="7" spans="1:17">
      <c r="A7" s="145" t="s">
        <v>90</v>
      </c>
      <c r="B7" s="146"/>
      <c r="C7" s="154" t="s">
        <v>95</v>
      </c>
      <c r="D7" s="148"/>
      <c r="E7" s="149"/>
      <c r="F7" s="149"/>
      <c r="G7" s="149"/>
      <c r="H7" s="151">
        <v>1</v>
      </c>
      <c r="I7" s="151">
        <v>1</v>
      </c>
      <c r="J7" s="151">
        <v>1</v>
      </c>
      <c r="K7" s="152" t="s">
        <v>92</v>
      </c>
      <c r="L7" s="152" t="s">
        <v>92</v>
      </c>
      <c r="M7" s="145" t="s">
        <v>92</v>
      </c>
      <c r="N7" s="145" t="s">
        <v>92</v>
      </c>
      <c r="O7" s="145" t="s">
        <v>92</v>
      </c>
      <c r="P7" s="149"/>
      <c r="Q7" s="150"/>
    </row>
    <row r="8" spans="1:17">
      <c r="A8" s="145" t="s">
        <v>90</v>
      </c>
      <c r="B8" s="146"/>
      <c r="C8" s="154" t="s">
        <v>96</v>
      </c>
      <c r="D8" s="155"/>
      <c r="E8" s="149"/>
      <c r="F8" s="149"/>
      <c r="G8" s="149"/>
      <c r="H8" s="151">
        <v>1</v>
      </c>
      <c r="I8" s="151">
        <v>1</v>
      </c>
      <c r="J8" s="151">
        <v>1</v>
      </c>
      <c r="K8" s="152" t="s">
        <v>92</v>
      </c>
      <c r="L8" s="152" t="s">
        <v>92</v>
      </c>
      <c r="M8" s="145" t="s">
        <v>92</v>
      </c>
      <c r="N8" s="145" t="s">
        <v>92</v>
      </c>
      <c r="O8" s="145" t="s">
        <v>92</v>
      </c>
      <c r="P8" s="149"/>
      <c r="Q8" s="150"/>
    </row>
    <row r="9" spans="1:17">
      <c r="A9" s="145" t="s">
        <v>90</v>
      </c>
      <c r="B9" s="146"/>
      <c r="C9" s="154" t="s">
        <v>97</v>
      </c>
      <c r="D9" s="156"/>
      <c r="E9" s="156"/>
      <c r="F9" s="156"/>
      <c r="G9" s="156"/>
      <c r="H9" s="151">
        <v>1</v>
      </c>
      <c r="I9" s="151">
        <v>1</v>
      </c>
      <c r="J9" s="151">
        <v>1</v>
      </c>
      <c r="K9" s="152" t="s">
        <v>92</v>
      </c>
      <c r="L9" s="152" t="s">
        <v>92</v>
      </c>
      <c r="M9" s="145"/>
      <c r="N9" s="145"/>
      <c r="O9" s="145"/>
      <c r="P9" s="156"/>
      <c r="Q9" s="150"/>
    </row>
    <row r="10" spans="1:17">
      <c r="A10" s="145" t="s">
        <v>90</v>
      </c>
      <c r="B10" s="146"/>
      <c r="C10" s="154" t="s">
        <v>98</v>
      </c>
      <c r="D10" s="157"/>
      <c r="E10" s="155"/>
      <c r="F10" s="155"/>
      <c r="G10" s="155"/>
      <c r="H10" s="151">
        <v>1</v>
      </c>
      <c r="I10" s="151">
        <v>1</v>
      </c>
      <c r="J10" s="151">
        <v>1</v>
      </c>
      <c r="K10" s="152" t="s">
        <v>92</v>
      </c>
      <c r="L10" s="152" t="s">
        <v>92</v>
      </c>
      <c r="M10" s="145" t="s">
        <v>92</v>
      </c>
      <c r="N10" s="145" t="s">
        <v>92</v>
      </c>
      <c r="O10" s="145" t="s">
        <v>92</v>
      </c>
      <c r="P10" s="155"/>
      <c r="Q10" s="150"/>
    </row>
    <row r="11" spans="1:17">
      <c r="A11" s="145" t="s">
        <v>90</v>
      </c>
      <c r="B11" s="146"/>
      <c r="C11" s="154" t="s">
        <v>99</v>
      </c>
      <c r="D11" s="155"/>
      <c r="E11" s="149"/>
      <c r="F11" s="149"/>
      <c r="G11" s="149"/>
      <c r="H11" s="151">
        <v>1</v>
      </c>
      <c r="I11" s="151">
        <v>1</v>
      </c>
      <c r="J11" s="151">
        <v>1</v>
      </c>
      <c r="K11" s="152" t="s">
        <v>93</v>
      </c>
      <c r="L11" s="152" t="s">
        <v>93</v>
      </c>
      <c r="M11" s="145" t="s">
        <v>93</v>
      </c>
      <c r="N11" s="145" t="s">
        <v>93</v>
      </c>
      <c r="O11" s="145" t="s">
        <v>93</v>
      </c>
      <c r="P11" s="149"/>
      <c r="Q11" s="150"/>
    </row>
    <row r="12" spans="1:17">
      <c r="A12" s="145" t="s">
        <v>94</v>
      </c>
      <c r="B12" s="146"/>
      <c r="C12" s="154" t="s">
        <v>100</v>
      </c>
      <c r="D12" s="149"/>
      <c r="E12" s="155"/>
      <c r="F12" s="149"/>
      <c r="G12" s="149"/>
      <c r="H12" s="151">
        <v>1</v>
      </c>
      <c r="I12" s="151">
        <v>1</v>
      </c>
      <c r="J12" s="151">
        <v>1</v>
      </c>
      <c r="K12" s="152" t="s">
        <v>93</v>
      </c>
      <c r="L12" s="152" t="s">
        <v>93</v>
      </c>
      <c r="M12" s="145"/>
      <c r="N12" s="145"/>
      <c r="O12" s="145"/>
      <c r="P12" s="149"/>
      <c r="Q12" s="150"/>
    </row>
    <row r="13" spans="1:17">
      <c r="A13" s="158" t="s">
        <v>94</v>
      </c>
      <c r="B13" s="159"/>
      <c r="C13" s="154" t="s">
        <v>101</v>
      </c>
      <c r="D13" s="94"/>
      <c r="E13" s="92"/>
      <c r="F13" s="92"/>
      <c r="G13" s="175"/>
      <c r="H13" s="151">
        <v>1</v>
      </c>
      <c r="I13" s="151">
        <v>1</v>
      </c>
      <c r="J13" s="161">
        <v>1</v>
      </c>
      <c r="K13" s="152" t="s">
        <v>93</v>
      </c>
      <c r="L13" s="152" t="s">
        <v>93</v>
      </c>
      <c r="M13" s="145" t="s">
        <v>93</v>
      </c>
      <c r="N13" s="145" t="s">
        <v>93</v>
      </c>
      <c r="O13" s="145" t="s">
        <v>93</v>
      </c>
      <c r="P13" s="177"/>
      <c r="Q13" s="160"/>
    </row>
    <row r="14" spans="1:17">
      <c r="A14" s="158" t="s">
        <v>94</v>
      </c>
      <c r="B14" s="159"/>
      <c r="C14" s="154" t="s">
        <v>102</v>
      </c>
      <c r="D14" s="92"/>
      <c r="E14" s="92"/>
      <c r="F14" s="92"/>
      <c r="G14" s="175"/>
      <c r="H14" s="151">
        <v>1</v>
      </c>
      <c r="I14" s="151">
        <v>1</v>
      </c>
      <c r="J14" s="161">
        <v>1</v>
      </c>
      <c r="K14" s="152" t="s">
        <v>92</v>
      </c>
      <c r="L14" s="152" t="s">
        <v>92</v>
      </c>
      <c r="M14" s="158"/>
      <c r="N14" s="158"/>
      <c r="O14" s="158"/>
      <c r="P14" s="177"/>
      <c r="Q14" s="160"/>
    </row>
    <row r="15" spans="1:17" s="47" customFormat="1" ht="30" customHeight="1">
      <c r="A15" s="108"/>
      <c r="B15" s="109"/>
      <c r="C15" s="162"/>
      <c r="D15" s="110"/>
      <c r="E15" s="110"/>
      <c r="F15" s="110"/>
      <c r="G15" s="110"/>
      <c r="H15" s="111">
        <f>SUM(H5:H14)</f>
        <v>9</v>
      </c>
      <c r="I15" s="111">
        <f>SUM(I5:I14)</f>
        <v>9</v>
      </c>
      <c r="J15" s="111">
        <f>SUM(J5:J14)</f>
        <v>9</v>
      </c>
      <c r="K15" s="112"/>
      <c r="L15" s="112"/>
      <c r="M15" s="112"/>
      <c r="N15" s="112"/>
      <c r="O15" s="112"/>
      <c r="P15" s="110"/>
      <c r="Q15" s="163"/>
    </row>
    <row r="16" spans="1:17" s="44" customFormat="1" ht="15.95" customHeight="1">
      <c r="A16" s="41"/>
      <c r="B16" s="41"/>
      <c r="C16" s="128"/>
      <c r="D16" s="42"/>
      <c r="E16" s="43"/>
      <c r="H16" s="45"/>
      <c r="I16" s="45"/>
      <c r="J16" s="45"/>
      <c r="K16" s="45"/>
      <c r="L16" s="45"/>
      <c r="M16" s="45"/>
      <c r="N16" s="45"/>
      <c r="O16" s="45"/>
    </row>
    <row r="17" spans="1:3">
      <c r="A17" s="113" t="s">
        <v>50</v>
      </c>
      <c r="B17" s="114"/>
      <c r="C17" s="115">
        <f>H15</f>
        <v>9</v>
      </c>
    </row>
    <row r="18" spans="1:3">
      <c r="A18" s="113" t="s">
        <v>128</v>
      </c>
      <c r="B18" s="114"/>
      <c r="C18" s="115">
        <f>J15</f>
        <v>9</v>
      </c>
    </row>
    <row r="19" spans="1:3">
      <c r="A19" s="113" t="s">
        <v>42</v>
      </c>
      <c r="B19" s="114"/>
      <c r="C19" s="115">
        <f>I15</f>
        <v>9</v>
      </c>
    </row>
    <row r="20" spans="1:3">
      <c r="A20" s="123" t="s">
        <v>73</v>
      </c>
      <c r="B20" s="123"/>
      <c r="C20" s="115">
        <f>SUM(C17:C19)</f>
        <v>27</v>
      </c>
    </row>
  </sheetData>
  <mergeCells count="3">
    <mergeCell ref="H4:J4"/>
    <mergeCell ref="K4:O4"/>
    <mergeCell ref="A4:B4"/>
  </mergeCells>
  <phoneticPr fontId="2" type="noConversion"/>
  <printOptions horizontalCentered="1"/>
  <pageMargins left="0.31496062992125984" right="0.31496062992125984" top="0.19685039370078741" bottom="0.19685039370078741" header="0.19685039370078741" footer="0.15748031496062992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개정이력</vt:lpstr>
      <vt:lpstr>Code</vt:lpstr>
      <vt:lpstr>Front</vt:lpstr>
      <vt:lpstr>Admin</vt:lpstr>
      <vt:lpstr>Admin!Print_Area</vt:lpstr>
      <vt:lpstr>Front!Print_Area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2023-08-09T03:54:17Z</dcterms:created>
  <dcterms:modified xsi:type="dcterms:W3CDTF">2023-08-09T03:57:51Z</dcterms:modified>
</cp:coreProperties>
</file>